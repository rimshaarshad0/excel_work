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<sst xmlns="http://schemas.openxmlformats.org/spreadsheetml/2006/main" count="132" uniqueCount="85">
  <si>
    <t>Sales Dashboard Dataset</t>
  </si>
  <si>
    <t>Date</t>
  </si>
  <si>
    <t>Region</t>
  </si>
  <si>
    <t>Salesperson</t>
  </si>
  <si>
    <t>Product</t>
  </si>
  <si>
    <t>Category</t>
  </si>
  <si>
    <t>Units Sold</t>
  </si>
  <si>
    <t>Price</t>
  </si>
  <si>
    <t>Revenue</t>
  </si>
  <si>
    <t>Profit</t>
  </si>
  <si>
    <t>North</t>
  </si>
  <si>
    <t>Ali</t>
  </si>
  <si>
    <t>Laptop</t>
  </si>
  <si>
    <t>Electronics</t>
  </si>
  <si>
    <t>South</t>
  </si>
  <si>
    <t>Sara</t>
  </si>
  <si>
    <t>Smartphone</t>
  </si>
  <si>
    <t>East</t>
  </si>
  <si>
    <t>Ahmed</t>
  </si>
  <si>
    <t>Tablet</t>
  </si>
  <si>
    <t>West</t>
  </si>
  <si>
    <t>Zara</t>
  </si>
  <si>
    <t>Printer</t>
  </si>
  <si>
    <t>Office Equipment</t>
  </si>
  <si>
    <t>Central</t>
  </si>
  <si>
    <t>Usman</t>
  </si>
  <si>
    <t>Monitor</t>
  </si>
  <si>
    <t>Ayesha</t>
  </si>
  <si>
    <t>Keyboard</t>
  </si>
  <si>
    <t>Accessories</t>
  </si>
  <si>
    <t>Bilal</t>
  </si>
  <si>
    <t>Mouse</t>
  </si>
  <si>
    <t>Total Revenue</t>
  </si>
  <si>
    <t>Hina</t>
  </si>
  <si>
    <t>Headphones</t>
  </si>
  <si>
    <t>Total Profit</t>
  </si>
  <si>
    <t>Omar</t>
  </si>
  <si>
    <t>Speaker</t>
  </si>
  <si>
    <t>Fatima</t>
  </si>
  <si>
    <t>Webcam</t>
  </si>
  <si>
    <t>Hamza</t>
  </si>
  <si>
    <t>Router</t>
  </si>
  <si>
    <t>Networking</t>
  </si>
  <si>
    <t>Noor</t>
  </si>
  <si>
    <t>Hard Drive</t>
  </si>
  <si>
    <t>Storage</t>
  </si>
  <si>
    <t>Danish</t>
  </si>
  <si>
    <t>USB Flash Drive</t>
  </si>
  <si>
    <t>Sana</t>
  </si>
  <si>
    <t>Power Bank</t>
  </si>
  <si>
    <t>Farhan</t>
  </si>
  <si>
    <t>Smartwatch</t>
  </si>
  <si>
    <t>Wearables</t>
  </si>
  <si>
    <t>Iqra</t>
  </si>
  <si>
    <t>Camera</t>
  </si>
  <si>
    <t>Kashif</t>
  </si>
  <si>
    <t>Projector</t>
  </si>
  <si>
    <t>Mehwish</t>
  </si>
  <si>
    <t>Scanner</t>
  </si>
  <si>
    <t>Naveed</t>
  </si>
  <si>
    <t>Microphone</t>
  </si>
  <si>
    <t>Rabia</t>
  </si>
  <si>
    <t>Charger</t>
  </si>
  <si>
    <t>Saad</t>
  </si>
  <si>
    <t>Gaming Console</t>
  </si>
  <si>
    <t>Gaming</t>
  </si>
  <si>
    <t>Tania</t>
  </si>
  <si>
    <t>Graphics Card</t>
  </si>
  <si>
    <t>Hardware</t>
  </si>
  <si>
    <t>Umer</t>
  </si>
  <si>
    <t>RAM</t>
  </si>
  <si>
    <t>Waqas</t>
  </si>
  <si>
    <t>Motherboard</t>
  </si>
  <si>
    <t>Yasir</t>
  </si>
  <si>
    <t>SSD</t>
  </si>
  <si>
    <t>Zainab</t>
  </si>
  <si>
    <t>External HDD</t>
  </si>
  <si>
    <t>Arham</t>
  </si>
  <si>
    <t>Docking Station</t>
  </si>
  <si>
    <t>Laiba</t>
  </si>
  <si>
    <t>Stylus Pen</t>
  </si>
  <si>
    <t>Shayan</t>
  </si>
  <si>
    <t>VR Headset</t>
  </si>
  <si>
    <t>Maham</t>
  </si>
  <si>
    <t>WiFi Adapter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</si>
</sst>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left" vertical="center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58" fontId="0" fillId="0" borderId="3" xfId="0" applyNumberFormat="1" applyBorder="1" applyAlignment="1">
      <alignment horizontal="left" vertical="center"/>
    </xf>
    <xf numFmtId="0" fontId="3" fillId="0" borderId="0" xfId="0" applyFont="1">
      <alignment vertical="center"/>
    </xf>
    <xf numFmtId="58" fontId="0" fillId="0" borderId="4" xfId="0" applyNumberFormat="1" applyBorder="1" applyAlignment="1">
      <alignment horizontal="left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2" borderId="11" xfId="0" applyFont="1" applyFill="1" applyBorder="1">
      <alignment vertical="center"/>
    </xf>
    <xf numFmtId="0" fontId="4" fillId="2" borderId="10" xfId="0" applyNumberFormat="1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9" xfId="0" applyNumberFormat="1" applyFont="1" applyFill="1" applyBorder="1">
      <alignment vertical="center"/>
    </xf>
    <xf numFmtId="0" fontId="0" fillId="0" borderId="9" xfId="0" applyBorder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7"/>
  <sheetViews>
    <sheetView tabSelected="1" workbookViewId="0">
      <selection activeCell="N20" sqref="N20"/>
    </sheetView>
  </sheetViews>
  <sheetFormatPr defaultColWidth="8.88888888888889" defaultRowHeight="14.4"/>
  <cols>
    <col min="2" max="2" width="17.8888888888889" customWidth="1"/>
    <col min="3" max="3" width="14.4444444444444" customWidth="1"/>
    <col min="4" max="4" width="19.1111111111111" customWidth="1"/>
    <col min="5" max="5" width="17.7777777777778" customWidth="1"/>
    <col min="6" max="6" width="17.8888888888889" customWidth="1"/>
    <col min="7" max="7" width="13.4444444444444" customWidth="1"/>
    <col min="8" max="8" width="12.5555555555556" customWidth="1"/>
    <col min="9" max="9" width="12.6666666666667" customWidth="1"/>
    <col min="10" max="10" width="13" customWidth="1"/>
    <col min="13" max="13" width="8.88888888888889" hidden="1" customWidth="1"/>
    <col min="14" max="14" width="17.6666666666667" customWidth="1"/>
  </cols>
  <sheetData>
    <row r="2" spans="2:10">
      <c r="B2" s="1" t="s">
        <v>0</v>
      </c>
      <c r="C2" s="2"/>
      <c r="D2" s="2"/>
      <c r="E2" s="2"/>
      <c r="F2" s="2"/>
      <c r="G2" s="2"/>
      <c r="H2" s="2"/>
      <c r="I2" s="2"/>
      <c r="J2" s="16"/>
    </row>
    <row r="3" spans="2:10">
      <c r="B3" s="3"/>
      <c r="C3" s="4"/>
      <c r="D3" s="4"/>
      <c r="E3" s="4"/>
      <c r="F3" s="4"/>
      <c r="G3" s="4"/>
      <c r="H3" s="4"/>
      <c r="I3" s="4"/>
      <c r="J3" s="17"/>
    </row>
    <row r="4" spans="2:10">
      <c r="B4" s="5"/>
      <c r="C4" s="6"/>
      <c r="D4" s="6"/>
      <c r="E4" s="6"/>
      <c r="F4" s="6"/>
      <c r="G4" s="6"/>
      <c r="H4" s="6"/>
      <c r="I4" s="6"/>
      <c r="J4" s="18"/>
    </row>
    <row r="5" ht="18.75" spans="2:10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19" t="s">
        <v>9</v>
      </c>
    </row>
    <row r="6" spans="2:10">
      <c r="B6" s="8">
        <v>45658</v>
      </c>
      <c r="C6" s="9" t="s">
        <v>10</v>
      </c>
      <c r="D6" s="9" t="s">
        <v>11</v>
      </c>
      <c r="E6" s="9" t="s">
        <v>12</v>
      </c>
      <c r="F6" s="9" t="s">
        <v>13</v>
      </c>
      <c r="G6" s="10">
        <v>5</v>
      </c>
      <c r="H6" s="9">
        <v>800</v>
      </c>
      <c r="I6" s="9">
        <f>G6*H6</f>
        <v>4000</v>
      </c>
      <c r="J6" s="20">
        <f>I6-(I6*70%)</f>
        <v>1200</v>
      </c>
    </row>
    <row r="7" spans="2:10">
      <c r="B7" s="11">
        <v>45659</v>
      </c>
      <c r="C7" t="s">
        <v>14</v>
      </c>
      <c r="D7" t="s">
        <v>15</v>
      </c>
      <c r="E7" t="s">
        <v>16</v>
      </c>
      <c r="F7" t="s">
        <v>13</v>
      </c>
      <c r="G7" s="12">
        <v>8</v>
      </c>
      <c r="H7">
        <v>500</v>
      </c>
      <c r="I7">
        <f t="shared" ref="I7:I35" si="0">G7*H7</f>
        <v>4000</v>
      </c>
      <c r="J7" s="21">
        <f t="shared" ref="J7:J35" si="1">I7-(I7*70%)</f>
        <v>1200</v>
      </c>
    </row>
    <row r="8" spans="2:10">
      <c r="B8" s="11">
        <v>45660</v>
      </c>
      <c r="C8" t="s">
        <v>17</v>
      </c>
      <c r="D8" t="s">
        <v>18</v>
      </c>
      <c r="E8" t="s">
        <v>19</v>
      </c>
      <c r="F8" t="s">
        <v>13</v>
      </c>
      <c r="G8" s="12">
        <v>6</v>
      </c>
      <c r="H8">
        <v>300</v>
      </c>
      <c r="I8">
        <f t="shared" si="0"/>
        <v>1800</v>
      </c>
      <c r="J8" s="21">
        <f t="shared" si="1"/>
        <v>540</v>
      </c>
    </row>
    <row r="9" spans="2:10">
      <c r="B9" s="11">
        <v>45661</v>
      </c>
      <c r="C9" t="s">
        <v>20</v>
      </c>
      <c r="D9" t="s">
        <v>21</v>
      </c>
      <c r="E9" t="s">
        <v>22</v>
      </c>
      <c r="F9" t="s">
        <v>23</v>
      </c>
      <c r="G9" s="12">
        <v>4</v>
      </c>
      <c r="H9">
        <v>200</v>
      </c>
      <c r="I9">
        <f t="shared" si="0"/>
        <v>800</v>
      </c>
      <c r="J9" s="21">
        <f t="shared" si="1"/>
        <v>240</v>
      </c>
    </row>
    <row r="10" spans="2:10">
      <c r="B10" s="11">
        <v>45662</v>
      </c>
      <c r="C10" t="s">
        <v>24</v>
      </c>
      <c r="D10" t="s">
        <v>25</v>
      </c>
      <c r="E10" t="s">
        <v>26</v>
      </c>
      <c r="F10" t="s">
        <v>13</v>
      </c>
      <c r="G10" s="12">
        <v>7</v>
      </c>
      <c r="H10">
        <v>250</v>
      </c>
      <c r="I10">
        <f t="shared" si="0"/>
        <v>1750</v>
      </c>
      <c r="J10" s="21">
        <f t="shared" si="1"/>
        <v>525</v>
      </c>
    </row>
    <row r="11" ht="15.15" spans="2:10">
      <c r="B11" s="11">
        <v>45663</v>
      </c>
      <c r="C11" t="s">
        <v>10</v>
      </c>
      <c r="D11" t="s">
        <v>27</v>
      </c>
      <c r="E11" t="s">
        <v>28</v>
      </c>
      <c r="F11" t="s">
        <v>29</v>
      </c>
      <c r="G11" s="12">
        <v>10</v>
      </c>
      <c r="H11">
        <v>150</v>
      </c>
      <c r="I11">
        <f t="shared" si="0"/>
        <v>1500</v>
      </c>
      <c r="J11" s="21">
        <f t="shared" si="1"/>
        <v>450</v>
      </c>
    </row>
    <row r="12" ht="15.15" spans="2:15">
      <c r="B12" s="11">
        <v>45664</v>
      </c>
      <c r="C12" t="s">
        <v>14</v>
      </c>
      <c r="D12" t="s">
        <v>30</v>
      </c>
      <c r="E12" t="s">
        <v>31</v>
      </c>
      <c r="F12" t="s">
        <v>29</v>
      </c>
      <c r="G12" s="12">
        <v>3</v>
      </c>
      <c r="H12">
        <v>100</v>
      </c>
      <c r="I12">
        <f t="shared" si="0"/>
        <v>300</v>
      </c>
      <c r="J12" s="21">
        <f t="shared" si="1"/>
        <v>90</v>
      </c>
      <c r="N12" s="22" t="s">
        <v>32</v>
      </c>
      <c r="O12" s="23">
        <f>SUM(I6:I35)</f>
        <v>69095</v>
      </c>
    </row>
    <row r="13" ht="15.15" spans="2:15">
      <c r="B13" s="11">
        <v>45665</v>
      </c>
      <c r="C13" t="s">
        <v>17</v>
      </c>
      <c r="D13" t="s">
        <v>33</v>
      </c>
      <c r="E13" t="s">
        <v>34</v>
      </c>
      <c r="F13" t="s">
        <v>29</v>
      </c>
      <c r="G13" s="12">
        <v>9</v>
      </c>
      <c r="H13">
        <v>120</v>
      </c>
      <c r="I13">
        <f t="shared" si="0"/>
        <v>1080</v>
      </c>
      <c r="J13" s="21">
        <f t="shared" si="1"/>
        <v>324</v>
      </c>
      <c r="N13" s="24" t="s">
        <v>35</v>
      </c>
      <c r="O13" s="25">
        <f>SUM(J6:J35)</f>
        <v>20728.5</v>
      </c>
    </row>
    <row r="14" spans="2:10">
      <c r="B14" s="11">
        <v>45666</v>
      </c>
      <c r="C14" t="s">
        <v>20</v>
      </c>
      <c r="D14" t="s">
        <v>36</v>
      </c>
      <c r="E14" t="s">
        <v>37</v>
      </c>
      <c r="F14" t="s">
        <v>29</v>
      </c>
      <c r="G14" s="12">
        <v>2</v>
      </c>
      <c r="H14">
        <v>90</v>
      </c>
      <c r="I14">
        <f t="shared" si="0"/>
        <v>180</v>
      </c>
      <c r="J14" s="21">
        <f t="shared" si="1"/>
        <v>54</v>
      </c>
    </row>
    <row r="15" spans="2:10">
      <c r="B15" s="11">
        <v>45667</v>
      </c>
      <c r="C15" t="s">
        <v>24</v>
      </c>
      <c r="D15" t="s">
        <v>38</v>
      </c>
      <c r="E15" t="s">
        <v>39</v>
      </c>
      <c r="F15" t="s">
        <v>29</v>
      </c>
      <c r="G15" s="12">
        <v>11</v>
      </c>
      <c r="H15">
        <v>180</v>
      </c>
      <c r="I15">
        <f t="shared" si="0"/>
        <v>1980</v>
      </c>
      <c r="J15" s="21">
        <f t="shared" si="1"/>
        <v>594</v>
      </c>
    </row>
    <row r="16" spans="2:10">
      <c r="B16" s="11">
        <v>45668</v>
      </c>
      <c r="C16" t="s">
        <v>10</v>
      </c>
      <c r="D16" t="s">
        <v>40</v>
      </c>
      <c r="E16" t="s">
        <v>41</v>
      </c>
      <c r="F16" t="s">
        <v>42</v>
      </c>
      <c r="G16" s="12">
        <v>6</v>
      </c>
      <c r="H16">
        <v>220</v>
      </c>
      <c r="I16">
        <f t="shared" si="0"/>
        <v>1320</v>
      </c>
      <c r="J16" s="21">
        <f t="shared" si="1"/>
        <v>396</v>
      </c>
    </row>
    <row r="17" spans="2:10">
      <c r="B17" s="11">
        <v>45669</v>
      </c>
      <c r="C17" t="s">
        <v>14</v>
      </c>
      <c r="D17" t="s">
        <v>43</v>
      </c>
      <c r="E17" t="s">
        <v>44</v>
      </c>
      <c r="F17" t="s">
        <v>45</v>
      </c>
      <c r="G17" s="12">
        <v>5</v>
      </c>
      <c r="H17">
        <v>140</v>
      </c>
      <c r="I17">
        <f t="shared" si="0"/>
        <v>700</v>
      </c>
      <c r="J17" s="21">
        <f t="shared" si="1"/>
        <v>210</v>
      </c>
    </row>
    <row r="18" spans="2:10">
      <c r="B18" s="11">
        <v>45670</v>
      </c>
      <c r="C18" t="s">
        <v>17</v>
      </c>
      <c r="D18" t="s">
        <v>46</v>
      </c>
      <c r="E18" t="s">
        <v>47</v>
      </c>
      <c r="F18" t="s">
        <v>45</v>
      </c>
      <c r="G18" s="12">
        <v>8</v>
      </c>
      <c r="H18">
        <v>160</v>
      </c>
      <c r="I18">
        <f t="shared" si="0"/>
        <v>1280</v>
      </c>
      <c r="J18" s="21">
        <f t="shared" si="1"/>
        <v>384</v>
      </c>
    </row>
    <row r="19" spans="2:10">
      <c r="B19" s="11">
        <v>45671</v>
      </c>
      <c r="C19" t="s">
        <v>20</v>
      </c>
      <c r="D19" t="s">
        <v>48</v>
      </c>
      <c r="E19" t="s">
        <v>49</v>
      </c>
      <c r="F19" t="s">
        <v>29</v>
      </c>
      <c r="G19" s="12">
        <v>7</v>
      </c>
      <c r="H19">
        <v>130</v>
      </c>
      <c r="I19">
        <f t="shared" si="0"/>
        <v>910</v>
      </c>
      <c r="J19" s="21">
        <f t="shared" si="1"/>
        <v>273</v>
      </c>
    </row>
    <row r="20" spans="2:10">
      <c r="B20" s="11">
        <v>45672</v>
      </c>
      <c r="C20" t="s">
        <v>24</v>
      </c>
      <c r="D20" t="s">
        <v>50</v>
      </c>
      <c r="E20" t="s">
        <v>51</v>
      </c>
      <c r="F20" t="s">
        <v>52</v>
      </c>
      <c r="G20" s="12">
        <v>4</v>
      </c>
      <c r="H20">
        <v>200</v>
      </c>
      <c r="I20">
        <f t="shared" si="0"/>
        <v>800</v>
      </c>
      <c r="J20" s="21">
        <f t="shared" si="1"/>
        <v>240</v>
      </c>
    </row>
    <row r="21" spans="2:10">
      <c r="B21" s="11">
        <v>45673</v>
      </c>
      <c r="C21" t="s">
        <v>10</v>
      </c>
      <c r="D21" t="s">
        <v>53</v>
      </c>
      <c r="E21" t="s">
        <v>54</v>
      </c>
      <c r="F21" t="s">
        <v>13</v>
      </c>
      <c r="G21" s="12">
        <v>12</v>
      </c>
      <c r="H21">
        <v>600</v>
      </c>
      <c r="I21">
        <f t="shared" si="0"/>
        <v>7200</v>
      </c>
      <c r="J21" s="21">
        <f t="shared" si="1"/>
        <v>2160</v>
      </c>
    </row>
    <row r="22" spans="2:10">
      <c r="B22" s="11">
        <v>45674</v>
      </c>
      <c r="C22" t="s">
        <v>14</v>
      </c>
      <c r="D22" t="s">
        <v>55</v>
      </c>
      <c r="E22" t="s">
        <v>56</v>
      </c>
      <c r="F22" t="s">
        <v>23</v>
      </c>
      <c r="G22" s="12">
        <v>3</v>
      </c>
      <c r="H22">
        <v>350</v>
      </c>
      <c r="I22">
        <f t="shared" si="0"/>
        <v>1050</v>
      </c>
      <c r="J22" s="21">
        <f t="shared" si="1"/>
        <v>315</v>
      </c>
    </row>
    <row r="23" spans="2:10">
      <c r="B23" s="11">
        <v>45675</v>
      </c>
      <c r="C23" t="s">
        <v>17</v>
      </c>
      <c r="D23" t="s">
        <v>57</v>
      </c>
      <c r="E23" t="s">
        <v>58</v>
      </c>
      <c r="F23" t="s">
        <v>23</v>
      </c>
      <c r="G23" s="12">
        <v>9</v>
      </c>
      <c r="H23">
        <v>275</v>
      </c>
      <c r="I23">
        <f t="shared" si="0"/>
        <v>2475</v>
      </c>
      <c r="J23" s="21">
        <f t="shared" si="1"/>
        <v>742.5</v>
      </c>
    </row>
    <row r="24" spans="2:10">
      <c r="B24" s="11">
        <v>45676</v>
      </c>
      <c r="C24" t="s">
        <v>20</v>
      </c>
      <c r="D24" t="s">
        <v>59</v>
      </c>
      <c r="E24" t="s">
        <v>60</v>
      </c>
      <c r="F24" t="s">
        <v>29</v>
      </c>
      <c r="G24" s="12">
        <v>6</v>
      </c>
      <c r="H24">
        <v>110</v>
      </c>
      <c r="I24">
        <f t="shared" si="0"/>
        <v>660</v>
      </c>
      <c r="J24" s="21">
        <f t="shared" si="1"/>
        <v>198</v>
      </c>
    </row>
    <row r="25" spans="2:10">
      <c r="B25" s="11">
        <v>45677</v>
      </c>
      <c r="C25" t="s">
        <v>24</v>
      </c>
      <c r="D25" t="s">
        <v>61</v>
      </c>
      <c r="E25" t="s">
        <v>62</v>
      </c>
      <c r="F25" t="s">
        <v>29</v>
      </c>
      <c r="G25" s="12">
        <v>5</v>
      </c>
      <c r="H25">
        <v>95</v>
      </c>
      <c r="I25">
        <f t="shared" si="0"/>
        <v>475</v>
      </c>
      <c r="J25" s="21">
        <f t="shared" si="1"/>
        <v>142.5</v>
      </c>
    </row>
    <row r="26" spans="2:10">
      <c r="B26" s="11">
        <v>45678</v>
      </c>
      <c r="C26" t="s">
        <v>10</v>
      </c>
      <c r="D26" t="s">
        <v>63</v>
      </c>
      <c r="E26" t="s">
        <v>64</v>
      </c>
      <c r="F26" t="s">
        <v>65</v>
      </c>
      <c r="G26" s="12">
        <v>10</v>
      </c>
      <c r="H26">
        <v>450</v>
      </c>
      <c r="I26">
        <f t="shared" si="0"/>
        <v>4500</v>
      </c>
      <c r="J26" s="21">
        <f t="shared" si="1"/>
        <v>1350</v>
      </c>
    </row>
    <row r="27" spans="2:10">
      <c r="B27" s="11">
        <v>45679</v>
      </c>
      <c r="C27" t="s">
        <v>14</v>
      </c>
      <c r="D27" t="s">
        <v>66</v>
      </c>
      <c r="E27" t="s">
        <v>67</v>
      </c>
      <c r="F27" t="s">
        <v>68</v>
      </c>
      <c r="G27" s="12">
        <v>7</v>
      </c>
      <c r="H27">
        <v>700</v>
      </c>
      <c r="I27">
        <f t="shared" si="0"/>
        <v>4900</v>
      </c>
      <c r="J27" s="21">
        <f t="shared" si="1"/>
        <v>1470</v>
      </c>
    </row>
    <row r="28" spans="2:10">
      <c r="B28" s="11">
        <v>45680</v>
      </c>
      <c r="C28" t="s">
        <v>17</v>
      </c>
      <c r="D28" t="s">
        <v>69</v>
      </c>
      <c r="E28" t="s">
        <v>70</v>
      </c>
      <c r="F28" t="s">
        <v>68</v>
      </c>
      <c r="G28" s="12">
        <v>4</v>
      </c>
      <c r="H28">
        <v>650</v>
      </c>
      <c r="I28">
        <f t="shared" si="0"/>
        <v>2600</v>
      </c>
      <c r="J28" s="21">
        <f t="shared" si="1"/>
        <v>780</v>
      </c>
    </row>
    <row r="29" spans="2:10">
      <c r="B29" s="11">
        <v>45681</v>
      </c>
      <c r="C29" t="s">
        <v>20</v>
      </c>
      <c r="D29" t="s">
        <v>71</v>
      </c>
      <c r="E29" t="s">
        <v>72</v>
      </c>
      <c r="F29" t="s">
        <v>68</v>
      </c>
      <c r="G29" s="12">
        <v>8</v>
      </c>
      <c r="H29">
        <v>550</v>
      </c>
      <c r="I29">
        <f t="shared" si="0"/>
        <v>4400</v>
      </c>
      <c r="J29" s="21">
        <f t="shared" si="1"/>
        <v>1320</v>
      </c>
    </row>
    <row r="30" spans="2:10">
      <c r="B30" s="11">
        <v>45682</v>
      </c>
      <c r="C30" t="s">
        <v>24</v>
      </c>
      <c r="D30" t="s">
        <v>73</v>
      </c>
      <c r="E30" t="s">
        <v>74</v>
      </c>
      <c r="F30" t="s">
        <v>45</v>
      </c>
      <c r="G30" s="12">
        <v>6</v>
      </c>
      <c r="H30">
        <v>400</v>
      </c>
      <c r="I30">
        <f t="shared" si="0"/>
        <v>2400</v>
      </c>
      <c r="J30" s="21">
        <f t="shared" si="1"/>
        <v>720</v>
      </c>
    </row>
    <row r="31" spans="2:10">
      <c r="B31" s="11">
        <v>45683</v>
      </c>
      <c r="C31" t="s">
        <v>10</v>
      </c>
      <c r="D31" t="s">
        <v>75</v>
      </c>
      <c r="E31" t="s">
        <v>76</v>
      </c>
      <c r="F31" t="s">
        <v>45</v>
      </c>
      <c r="G31" s="12">
        <v>5</v>
      </c>
      <c r="H31">
        <v>380</v>
      </c>
      <c r="I31">
        <f t="shared" si="0"/>
        <v>1900</v>
      </c>
      <c r="J31" s="21">
        <f t="shared" si="1"/>
        <v>570</v>
      </c>
    </row>
    <row r="32" spans="2:10">
      <c r="B32" s="11">
        <v>45684</v>
      </c>
      <c r="C32" t="s">
        <v>14</v>
      </c>
      <c r="D32" t="s">
        <v>77</v>
      </c>
      <c r="E32" t="s">
        <v>78</v>
      </c>
      <c r="F32" t="s">
        <v>29</v>
      </c>
      <c r="G32" s="12">
        <v>9</v>
      </c>
      <c r="H32">
        <v>210</v>
      </c>
      <c r="I32">
        <f t="shared" si="0"/>
        <v>1890</v>
      </c>
      <c r="J32" s="21">
        <f t="shared" si="1"/>
        <v>567</v>
      </c>
    </row>
    <row r="33" spans="2:10">
      <c r="B33" s="11">
        <v>45685</v>
      </c>
      <c r="C33" t="s">
        <v>17</v>
      </c>
      <c r="D33" t="s">
        <v>79</v>
      </c>
      <c r="E33" t="s">
        <v>80</v>
      </c>
      <c r="F33" t="s">
        <v>29</v>
      </c>
      <c r="G33" s="12">
        <v>3</v>
      </c>
      <c r="H33">
        <v>175</v>
      </c>
      <c r="I33">
        <f t="shared" si="0"/>
        <v>525</v>
      </c>
      <c r="J33" s="21">
        <f t="shared" si="1"/>
        <v>157.5</v>
      </c>
    </row>
    <row r="34" spans="2:10">
      <c r="B34" s="11">
        <v>45686</v>
      </c>
      <c r="C34" t="s">
        <v>20</v>
      </c>
      <c r="D34" t="s">
        <v>81</v>
      </c>
      <c r="E34" t="s">
        <v>82</v>
      </c>
      <c r="F34" t="s">
        <v>65</v>
      </c>
      <c r="G34" s="12">
        <v>11</v>
      </c>
      <c r="H34">
        <v>900</v>
      </c>
      <c r="I34">
        <f t="shared" si="0"/>
        <v>9900</v>
      </c>
      <c r="J34" s="21">
        <f t="shared" si="1"/>
        <v>2970</v>
      </c>
    </row>
    <row r="35" ht="15.15" spans="2:10">
      <c r="B35" s="13">
        <v>45687</v>
      </c>
      <c r="C35" s="14" t="s">
        <v>24</v>
      </c>
      <c r="D35" s="14" t="s">
        <v>83</v>
      </c>
      <c r="E35" s="14" t="s">
        <v>84</v>
      </c>
      <c r="F35" s="14" t="s">
        <v>42</v>
      </c>
      <c r="G35" s="15">
        <v>7</v>
      </c>
      <c r="H35" s="14">
        <v>260</v>
      </c>
      <c r="I35" s="14">
        <f t="shared" si="0"/>
        <v>1820</v>
      </c>
      <c r="J35" s="26">
        <f t="shared" si="1"/>
        <v>546</v>
      </c>
    </row>
    <row r="37" spans="9:9">
      <c r="I37" s="27"/>
    </row>
  </sheetData>
  <mergeCells count="1">
    <mergeCell ref="B2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</dc:creator>
  <cp:lastModifiedBy>adeel</cp:lastModifiedBy>
  <dcterms:created xsi:type="dcterms:W3CDTF">2026-04-16T17:20:03Z</dcterms:created>
  <dcterms:modified xsi:type="dcterms:W3CDTF">2026-04-16T17:57:58Z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3F8555B671D149409FD257C3AEAE924C_11</vt:lpwstr>
  </property>
  <property fmtid="{D5CDD505-2E9C-101B-9397-08002B2CF9AE}" pid="3" name="KSOProductBuildVer">
    <vt:lpwstr>1033-12.2.0.23196</vt:lpwstr>
  </property>
</Properties>
</file>