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<sst xmlns="http://schemas.openxmlformats.org/spreadsheetml/2006/main" count="288" uniqueCount="167">
  <si>
    <t>S.No</t>
  </si>
  <si>
    <t>Date</t>
  </si>
  <si>
    <t>Customer Name</t>
  </si>
  <si>
    <t>Receipt No</t>
  </si>
  <si>
    <t>Transaction ID</t>
  </si>
  <si>
    <t>Account Number</t>
  </si>
  <si>
    <t>Deposit Amount</t>
  </si>
  <si>
    <t>Withdrawal Amount</t>
  </si>
  <si>
    <t>Balance</t>
  </si>
  <si>
    <t>Payment Method</t>
  </si>
  <si>
    <t>Cheque No</t>
  </si>
  <si>
    <t>Remarks</t>
  </si>
  <si>
    <t>Cashier Name</t>
  </si>
  <si>
    <t>Branch Name</t>
  </si>
  <si>
    <t>Status</t>
  </si>
  <si>
    <t>Signature</t>
  </si>
  <si>
    <t>Ali Khan</t>
  </si>
  <si>
    <t>R001</t>
  </si>
  <si>
    <t>TXN1001</t>
  </si>
  <si>
    <t>Cash</t>
  </si>
  <si>
    <t>Cash Deposit</t>
  </si>
  <si>
    <t>Ali</t>
  </si>
  <si>
    <t>Main Branch</t>
  </si>
  <si>
    <t>Paid</t>
  </si>
  <si>
    <t>Approved</t>
  </si>
  <si>
    <t>Ahmed Raza</t>
  </si>
  <si>
    <t>R002</t>
  </si>
  <si>
    <t>TXN1002</t>
  </si>
  <si>
    <t>Card</t>
  </si>
  <si>
    <t>ATM Withdrawal</t>
  </si>
  <si>
    <t>Ahmed</t>
  </si>
  <si>
    <t>City Branch</t>
  </si>
  <si>
    <t>Sara Malik</t>
  </si>
  <si>
    <t>R003</t>
  </si>
  <si>
    <t>TXN1003</t>
  </si>
  <si>
    <t>Online</t>
  </si>
  <si>
    <t>Online Transfer</t>
  </si>
  <si>
    <t>Sara</t>
  </si>
  <si>
    <t>North Branch</t>
  </si>
  <si>
    <t>Pending</t>
  </si>
  <si>
    <t>Hina Noor</t>
  </si>
  <si>
    <t>R004</t>
  </si>
  <si>
    <t>TXN1004</t>
  </si>
  <si>
    <t>Cheque</t>
  </si>
  <si>
    <t>Cheque Deposit</t>
  </si>
  <si>
    <t>Hina</t>
  </si>
  <si>
    <t>South Branch</t>
  </si>
  <si>
    <t>Bilal Ahmed</t>
  </si>
  <si>
    <t>R005</t>
  </si>
  <si>
    <t>TXN1005</t>
  </si>
  <si>
    <t>Bill Payment</t>
  </si>
  <si>
    <t>Bilal</t>
  </si>
  <si>
    <t>Ayesha Siddiqui</t>
  </si>
  <si>
    <t>R006</t>
  </si>
  <si>
    <t>TXN1006</t>
  </si>
  <si>
    <t>Salary Deposit</t>
  </si>
  <si>
    <t>Ayesha</t>
  </si>
  <si>
    <t>Usman Tariq</t>
  </si>
  <si>
    <t>R007</t>
  </si>
  <si>
    <t>TXN1007</t>
  </si>
  <si>
    <t>Cash Withdrawal</t>
  </si>
  <si>
    <t>Usman</t>
  </si>
  <si>
    <t>Zain Ali</t>
  </si>
  <si>
    <t>R008</t>
  </si>
  <si>
    <t>TXN1008</t>
  </si>
  <si>
    <t>Fund Transfer</t>
  </si>
  <si>
    <t>Zain</t>
  </si>
  <si>
    <t>Fatima Khan</t>
  </si>
  <si>
    <t>R009</t>
  </si>
  <si>
    <t>TXN1009</t>
  </si>
  <si>
    <t>Utility Bill</t>
  </si>
  <si>
    <t>Fatima</t>
  </si>
  <si>
    <t>Hamza Sheikh</t>
  </si>
  <si>
    <t>R010</t>
  </si>
  <si>
    <t>TXN1010</t>
  </si>
  <si>
    <t>Loan Payment</t>
  </si>
  <si>
    <t>Hamza</t>
  </si>
  <si>
    <t>Sana Iqbal</t>
  </si>
  <si>
    <t>R011</t>
  </si>
  <si>
    <t>TXN1011</t>
  </si>
  <si>
    <t>Mobile Banking</t>
  </si>
  <si>
    <t>Sana</t>
  </si>
  <si>
    <t>Umar Farooq</t>
  </si>
  <si>
    <t>R012</t>
  </si>
  <si>
    <t>TXN1012</t>
  </si>
  <si>
    <t>Cheque Clearance</t>
  </si>
  <si>
    <t>Umar</t>
  </si>
  <si>
    <t>Noor Fatima</t>
  </si>
  <si>
    <t>R013</t>
  </si>
  <si>
    <t>TXN1013</t>
  </si>
  <si>
    <t>Noor</t>
  </si>
  <si>
    <t>Danish Malik</t>
  </si>
  <si>
    <t>R014</t>
  </si>
  <si>
    <t>TXN1014</t>
  </si>
  <si>
    <t>Online Shopping</t>
  </si>
  <si>
    <t>Danish</t>
  </si>
  <si>
    <t>Mahnoor Ali</t>
  </si>
  <si>
    <t>R015</t>
  </si>
  <si>
    <t>TXN1015</t>
  </si>
  <si>
    <t>Mahnoor</t>
  </si>
  <si>
    <t>Hassan Raza</t>
  </si>
  <si>
    <t>R016</t>
  </si>
  <si>
    <t>TXN1016</t>
  </si>
  <si>
    <t>Salary Credit</t>
  </si>
  <si>
    <t>Hassan</t>
  </si>
  <si>
    <t>Rabia Khan</t>
  </si>
  <si>
    <t>R017</t>
  </si>
  <si>
    <t>TXN1017</t>
  </si>
  <si>
    <t>Insurance Payment</t>
  </si>
  <si>
    <t>Rabia</t>
  </si>
  <si>
    <t>Saad Ahmed</t>
  </si>
  <si>
    <t>R018</t>
  </si>
  <si>
    <t>TXN1018</t>
  </si>
  <si>
    <t>Saad</t>
  </si>
  <si>
    <t>Mehwish Noor</t>
  </si>
  <si>
    <t>R019</t>
  </si>
  <si>
    <t>TXN1019</t>
  </si>
  <si>
    <t>Mehwish</t>
  </si>
  <si>
    <t>Faisal Khan</t>
  </si>
  <si>
    <t>R020</t>
  </si>
  <si>
    <t>TXN1020</t>
  </si>
  <si>
    <t>Faisal</t>
  </si>
  <si>
    <t>Komal Tariq</t>
  </si>
  <si>
    <t>R021</t>
  </si>
  <si>
    <t>TXN1021</t>
  </si>
  <si>
    <t>Komal</t>
  </si>
  <si>
    <t>Talha Ahmed</t>
  </si>
  <si>
    <t>R022</t>
  </si>
  <si>
    <t>TXN1022</t>
  </si>
  <si>
    <t>Talha</t>
  </si>
  <si>
    <t>Iqra Malik</t>
  </si>
  <si>
    <t>R023</t>
  </si>
  <si>
    <t>TXN1023</t>
  </si>
  <si>
    <t>Iqra</t>
  </si>
  <si>
    <t>Shahzaib Ali</t>
  </si>
  <si>
    <t>R024</t>
  </si>
  <si>
    <t>TXN1024</t>
  </si>
  <si>
    <t>Shahzaib</t>
  </si>
  <si>
    <t>Maryam Noor</t>
  </si>
  <si>
    <t>R025</t>
  </si>
  <si>
    <t>TXN1025</t>
  </si>
  <si>
    <t>Maryam</t>
  </si>
  <si>
    <t>Haris Khan</t>
  </si>
  <si>
    <t>R026</t>
  </si>
  <si>
    <t>TXN1026</t>
  </si>
  <si>
    <t>Loan Installment</t>
  </si>
  <si>
    <t>Haris</t>
  </si>
  <si>
    <t>Anaya Siddiqui</t>
  </si>
  <si>
    <t>R027</t>
  </si>
  <si>
    <t>TXN1027</t>
  </si>
  <si>
    <t>Anaya</t>
  </si>
  <si>
    <t>Adnan Raza</t>
  </si>
  <si>
    <t>R028</t>
  </si>
  <si>
    <t>TXN1028</t>
  </si>
  <si>
    <t>Utility Payment</t>
  </si>
  <si>
    <t>Adnan</t>
  </si>
  <si>
    <t>Laiba Fatima</t>
  </si>
  <si>
    <t>R029</t>
  </si>
  <si>
    <t>TXN1029</t>
  </si>
  <si>
    <t>Laiba</t>
  </si>
  <si>
    <t>Salman Sheikh</t>
  </si>
  <si>
    <t>R030</t>
  </si>
  <si>
    <t>TXN1030</t>
  </si>
  <si>
    <t>Online Banking</t>
  </si>
  <si>
    <t>Salman</t>
  </si>
  <si>
    <t>Total Withdrawals</t>
  </si>
  <si>
    <t>Total Deposits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</si>
</sst>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58" fontId="2" fillId="0" borderId="4" xfId="0" applyNumberFormat="1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left" vertical="center"/>
    </xf>
    <xf numFmtId="58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left" vertical="center"/>
    </xf>
    <xf numFmtId="58" fontId="2" fillId="0" borderId="9" xfId="0" applyNumberFormat="1" applyFont="1" applyBorder="1" applyAlignment="1">
      <alignment horizontal="left"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>
      <alignment vertical="center"/>
    </xf>
    <xf numFmtId="0" fontId="3" fillId="3" borderId="11" xfId="0" applyFont="1" applyFill="1" applyBorder="1" applyAlignment="1">
      <alignment vertical="center" wrapText="1"/>
    </xf>
    <xf numFmtId="0" fontId="0" fillId="2" borderId="12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39"/>
  <sheetViews>
    <sheetView tabSelected="1" topLeftCell="A32" workbookViewId="0">
      <selection activeCell="I37" sqref="I37"/>
    </sheetView>
  </sheetViews>
  <sheetFormatPr defaultColWidth="8.88888888888889" defaultRowHeight="14.4"/>
  <cols>
    <col min="3" max="3" width="18" customWidth="1"/>
    <col min="4" max="4" width="19.8888888888889" customWidth="1"/>
    <col min="5" max="5" width="13.8888888888889" customWidth="1"/>
    <col min="6" max="6" width="17.4444444444444" customWidth="1"/>
    <col min="7" max="7" width="21.1111111111111" customWidth="1"/>
    <col min="8" max="8" width="19.7777777777778" customWidth="1"/>
    <col min="9" max="9" width="24.2222222222222" customWidth="1"/>
    <col min="10" max="10" width="13.7777777777778" customWidth="1"/>
    <col min="11" max="11" width="20.6666666666667" customWidth="1"/>
    <col min="12" max="12" width="16" customWidth="1"/>
    <col min="13" max="14" width="17.8888888888889" customWidth="1"/>
    <col min="15" max="15" width="18" customWidth="1"/>
    <col min="16" max="17" width="14.1111111111111" customWidth="1"/>
  </cols>
  <sheetData>
    <row r="2" ht="15.15"/>
    <row r="3" spans="2:17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15.6" spans="2:17">
      <c r="B5" s="3">
        <v>1</v>
      </c>
      <c r="C5" s="4">
        <v>46143</v>
      </c>
      <c r="D5" s="5" t="s">
        <v>16</v>
      </c>
      <c r="E5" s="5" t="s">
        <v>17</v>
      </c>
      <c r="F5" s="5" t="s">
        <v>18</v>
      </c>
      <c r="G5" s="6">
        <v>1002003001</v>
      </c>
      <c r="H5" s="6">
        <v>5000</v>
      </c>
      <c r="I5" s="6">
        <v>2000</v>
      </c>
      <c r="J5" s="6">
        <f>H5-I5</f>
        <v>3000</v>
      </c>
      <c r="K5" s="5" t="s">
        <v>19</v>
      </c>
      <c r="L5" s="7" t="str">
        <f>IF(V10="Cheque","CHQ"&amp;TEXT(1000+COUNTIF($V$10:V10,"Cheque"),"0"),"N/A")</f>
        <v>N/A</v>
      </c>
      <c r="M5" s="5" t="s">
        <v>20</v>
      </c>
      <c r="N5" s="5" t="s">
        <v>21</v>
      </c>
      <c r="O5" s="5" t="s">
        <v>22</v>
      </c>
      <c r="P5" s="5" t="s">
        <v>23</v>
      </c>
      <c r="Q5" s="8" t="s">
        <v>24</v>
      </c>
    </row>
    <row r="6" ht="15.6" spans="2:17">
      <c r="B6" s="9">
        <v>2</v>
      </c>
      <c r="C6" s="10">
        <v>46144</v>
      </c>
      <c r="D6" s="11" t="s">
        <v>25</v>
      </c>
      <c r="E6" s="11" t="s">
        <v>26</v>
      </c>
      <c r="F6" s="11" t="s">
        <v>27</v>
      </c>
      <c r="G6" s="12">
        <v>1002003002</v>
      </c>
      <c r="H6" s="12">
        <v>12000</v>
      </c>
      <c r="I6" s="12">
        <v>5000</v>
      </c>
      <c r="J6" s="12">
        <f t="shared" ref="J6:J34" si="0">H6-I6</f>
        <v>7000</v>
      </c>
      <c r="K6" s="11" t="s">
        <v>28</v>
      </c>
      <c r="L6" s="13" t="str">
        <f>IF(K6="Cheque","CHQ"&amp;TEXT(1000+COUNTIF($K$5:K6,"Cheque"),"0"),"N/A")</f>
        <v>N/A</v>
      </c>
      <c r="M6" s="11" t="s">
        <v>29</v>
      </c>
      <c r="N6" s="11" t="s">
        <v>30</v>
      </c>
      <c r="O6" s="11" t="s">
        <v>31</v>
      </c>
      <c r="P6" s="11" t="s">
        <v>23</v>
      </c>
      <c r="Q6" s="14" t="s">
        <v>24</v>
      </c>
    </row>
    <row r="7" ht="15.6" spans="2:17">
      <c r="B7" s="9">
        <v>3</v>
      </c>
      <c r="C7" s="10">
        <v>46145</v>
      </c>
      <c r="D7" s="11" t="s">
        <v>32</v>
      </c>
      <c r="E7" s="11" t="s">
        <v>33</v>
      </c>
      <c r="F7" s="11" t="s">
        <v>34</v>
      </c>
      <c r="G7" s="12">
        <v>1002003003</v>
      </c>
      <c r="H7" s="12">
        <v>8000</v>
      </c>
      <c r="I7" s="12">
        <v>3000</v>
      </c>
      <c r="J7" s="12">
        <f t="shared" si="0"/>
        <v>5000</v>
      </c>
      <c r="K7" s="11" t="s">
        <v>35</v>
      </c>
      <c r="L7" s="13" t="str">
        <f>IF(K7="Cheque","CHQ"&amp;TEXT(1000+COUNTIF($K$5:K7,"Cheque"),"0"),"N/A")</f>
        <v>N/A</v>
      </c>
      <c r="M7" s="11" t="s">
        <v>36</v>
      </c>
      <c r="N7" s="11" t="s">
        <v>37</v>
      </c>
      <c r="O7" s="11" t="s">
        <v>38</v>
      </c>
      <c r="P7" s="11" t="s">
        <v>39</v>
      </c>
      <c r="Q7" s="14" t="s">
        <v>39</v>
      </c>
    </row>
    <row r="8" ht="15.6" spans="2:17">
      <c r="B8" s="9">
        <v>4</v>
      </c>
      <c r="C8" s="10">
        <v>46146</v>
      </c>
      <c r="D8" s="11" t="s">
        <v>40</v>
      </c>
      <c r="E8" s="11" t="s">
        <v>41</v>
      </c>
      <c r="F8" s="11" t="s">
        <v>42</v>
      </c>
      <c r="G8" s="12">
        <v>1002003004</v>
      </c>
      <c r="H8" s="12">
        <v>15000</v>
      </c>
      <c r="I8" s="12">
        <v>7000</v>
      </c>
      <c r="J8" s="12">
        <f t="shared" si="0"/>
        <v>8000</v>
      </c>
      <c r="K8" s="11" t="s">
        <v>43</v>
      </c>
      <c r="L8" s="13" t="str">
        <f>IF(K8="Cheque","CHQ"&amp;TEXT(1000+COUNTIF($K$5:K8,"Cheque"),"0"),"N/A")</f>
        <v>CHQ1001</v>
      </c>
      <c r="M8" s="11" t="s">
        <v>44</v>
      </c>
      <c r="N8" s="11" t="s">
        <v>45</v>
      </c>
      <c r="O8" s="11" t="s">
        <v>46</v>
      </c>
      <c r="P8" s="11" t="s">
        <v>23</v>
      </c>
      <c r="Q8" s="14" t="s">
        <v>24</v>
      </c>
    </row>
    <row r="9" ht="15.6" spans="2:17">
      <c r="B9" s="9">
        <v>5</v>
      </c>
      <c r="C9" s="10">
        <v>46147</v>
      </c>
      <c r="D9" s="11" t="s">
        <v>47</v>
      </c>
      <c r="E9" s="11" t="s">
        <v>48</v>
      </c>
      <c r="F9" s="11" t="s">
        <v>49</v>
      </c>
      <c r="G9" s="12">
        <v>1002003005</v>
      </c>
      <c r="H9" s="12">
        <v>7000</v>
      </c>
      <c r="I9" s="12">
        <v>2500</v>
      </c>
      <c r="J9" s="12">
        <f t="shared" si="0"/>
        <v>4500</v>
      </c>
      <c r="K9" s="11" t="s">
        <v>19</v>
      </c>
      <c r="L9" s="13" t="str">
        <f>IF(K9="Cheque","CHQ"&amp;TEXT(1000+COUNTIF($K$5:K9,"Cheque"),"0"),"N/A")</f>
        <v>N/A</v>
      </c>
      <c r="M9" s="11" t="s">
        <v>50</v>
      </c>
      <c r="N9" s="11" t="s">
        <v>51</v>
      </c>
      <c r="O9" s="11" t="s">
        <v>22</v>
      </c>
      <c r="P9" s="11" t="s">
        <v>39</v>
      </c>
      <c r="Q9" s="14" t="s">
        <v>24</v>
      </c>
    </row>
    <row r="10" ht="15.6" spans="2:17">
      <c r="B10" s="9">
        <v>6</v>
      </c>
      <c r="C10" s="10">
        <v>46148</v>
      </c>
      <c r="D10" s="11" t="s">
        <v>52</v>
      </c>
      <c r="E10" s="11" t="s">
        <v>53</v>
      </c>
      <c r="F10" s="11" t="s">
        <v>54</v>
      </c>
      <c r="G10" s="12">
        <v>1002003006</v>
      </c>
      <c r="H10" s="12">
        <v>9500</v>
      </c>
      <c r="I10" s="12">
        <v>4000</v>
      </c>
      <c r="J10" s="12">
        <f t="shared" si="0"/>
        <v>5500</v>
      </c>
      <c r="K10" s="11" t="s">
        <v>35</v>
      </c>
      <c r="L10" s="13" t="str">
        <f>IF(K10="Cheque","CHQ"&amp;TEXT(1000+COUNTIF($K$5:K10,"Cheque"),"0"),"N/A")</f>
        <v>N/A</v>
      </c>
      <c r="M10" s="11" t="s">
        <v>55</v>
      </c>
      <c r="N10" s="11" t="s">
        <v>56</v>
      </c>
      <c r="O10" s="11" t="s">
        <v>31</v>
      </c>
      <c r="P10" s="11" t="s">
        <v>23</v>
      </c>
      <c r="Q10" s="14" t="s">
        <v>39</v>
      </c>
    </row>
    <row r="11" ht="15.6" spans="2:17">
      <c r="B11" s="9">
        <v>7</v>
      </c>
      <c r="C11" s="10">
        <v>46149</v>
      </c>
      <c r="D11" s="11" t="s">
        <v>57</v>
      </c>
      <c r="E11" s="11" t="s">
        <v>58</v>
      </c>
      <c r="F11" s="11" t="s">
        <v>59</v>
      </c>
      <c r="G11" s="12">
        <v>1002003007</v>
      </c>
      <c r="H11" s="12">
        <v>11000</v>
      </c>
      <c r="I11" s="12">
        <v>6000</v>
      </c>
      <c r="J11" s="12">
        <f t="shared" si="0"/>
        <v>5000</v>
      </c>
      <c r="K11" s="11" t="s">
        <v>28</v>
      </c>
      <c r="L11" s="13" t="str">
        <f>IF(K11="Cheque","CHQ"&amp;TEXT(1000+COUNTIF($K$5:K11,"Cheque"),"0"),"N/A")</f>
        <v>N/A</v>
      </c>
      <c r="M11" s="11" t="s">
        <v>60</v>
      </c>
      <c r="N11" s="11" t="s">
        <v>61</v>
      </c>
      <c r="O11" s="11" t="s">
        <v>38</v>
      </c>
      <c r="P11" s="11" t="s">
        <v>23</v>
      </c>
      <c r="Q11" s="14" t="s">
        <v>24</v>
      </c>
    </row>
    <row r="12" ht="15.6" spans="2:17">
      <c r="B12" s="9">
        <v>8</v>
      </c>
      <c r="C12" s="10">
        <v>46150</v>
      </c>
      <c r="D12" s="11" t="s">
        <v>62</v>
      </c>
      <c r="E12" s="11" t="s">
        <v>63</v>
      </c>
      <c r="F12" s="11" t="s">
        <v>64</v>
      </c>
      <c r="G12" s="12">
        <v>1002003008</v>
      </c>
      <c r="H12" s="12">
        <v>6000</v>
      </c>
      <c r="I12" s="12">
        <v>1500</v>
      </c>
      <c r="J12" s="12">
        <f t="shared" si="0"/>
        <v>4500</v>
      </c>
      <c r="K12" s="11" t="s">
        <v>19</v>
      </c>
      <c r="L12" s="13" t="str">
        <f>IF(K12="Cheque","CHQ"&amp;TEXT(1000+COUNTIF($K$5:K12,"Cheque"),"0"),"N/A")</f>
        <v>N/A</v>
      </c>
      <c r="M12" s="11" t="s">
        <v>65</v>
      </c>
      <c r="N12" s="11" t="s">
        <v>66</v>
      </c>
      <c r="O12" s="11" t="s">
        <v>46</v>
      </c>
      <c r="P12" s="11" t="s">
        <v>39</v>
      </c>
      <c r="Q12" s="14" t="s">
        <v>24</v>
      </c>
    </row>
    <row r="13" ht="15.6" spans="2:17">
      <c r="B13" s="9">
        <v>9</v>
      </c>
      <c r="C13" s="10">
        <v>46151</v>
      </c>
      <c r="D13" s="11" t="s">
        <v>67</v>
      </c>
      <c r="E13" s="11" t="s">
        <v>68</v>
      </c>
      <c r="F13" s="11" t="s">
        <v>69</v>
      </c>
      <c r="G13" s="12">
        <v>1002003009</v>
      </c>
      <c r="H13" s="12">
        <v>14000</v>
      </c>
      <c r="I13" s="12">
        <v>8000</v>
      </c>
      <c r="J13" s="12">
        <f t="shared" si="0"/>
        <v>6000</v>
      </c>
      <c r="K13" s="11" t="s">
        <v>43</v>
      </c>
      <c r="L13" s="13" t="str">
        <f>IF(K13="Cheque","CHQ"&amp;TEXT(1000+COUNTIF($K$5:K13,"Cheque"),"0"),"N/A")</f>
        <v>CHQ1002</v>
      </c>
      <c r="M13" s="11" t="s">
        <v>70</v>
      </c>
      <c r="N13" s="11" t="s">
        <v>71</v>
      </c>
      <c r="O13" s="11" t="s">
        <v>22</v>
      </c>
      <c r="P13" s="11" t="s">
        <v>23</v>
      </c>
      <c r="Q13" s="14" t="s">
        <v>39</v>
      </c>
    </row>
    <row r="14" ht="15.6" spans="2:17">
      <c r="B14" s="9">
        <v>10</v>
      </c>
      <c r="C14" s="10">
        <v>46152</v>
      </c>
      <c r="D14" s="11" t="s">
        <v>72</v>
      </c>
      <c r="E14" s="11" t="s">
        <v>73</v>
      </c>
      <c r="F14" s="11" t="s">
        <v>74</v>
      </c>
      <c r="G14" s="12">
        <v>1002003010</v>
      </c>
      <c r="H14" s="12">
        <v>10000</v>
      </c>
      <c r="I14" s="12">
        <v>3500</v>
      </c>
      <c r="J14" s="12">
        <f t="shared" si="0"/>
        <v>6500</v>
      </c>
      <c r="K14" s="11" t="s">
        <v>35</v>
      </c>
      <c r="L14" s="13" t="str">
        <f>IF(K14="Cheque","CHQ"&amp;TEXT(1000+COUNTIF($K$5:K14,"Cheque"),"0"),"N/A")</f>
        <v>N/A</v>
      </c>
      <c r="M14" s="11" t="s">
        <v>75</v>
      </c>
      <c r="N14" s="11" t="s">
        <v>76</v>
      </c>
      <c r="O14" s="11" t="s">
        <v>31</v>
      </c>
      <c r="P14" s="11" t="s">
        <v>23</v>
      </c>
      <c r="Q14" s="14" t="s">
        <v>24</v>
      </c>
    </row>
    <row r="15" ht="15.6" spans="2:17">
      <c r="B15" s="9">
        <v>11</v>
      </c>
      <c r="C15" s="10">
        <v>46153</v>
      </c>
      <c r="D15" s="11" t="s">
        <v>77</v>
      </c>
      <c r="E15" s="11" t="s">
        <v>78</v>
      </c>
      <c r="F15" s="11" t="s">
        <v>79</v>
      </c>
      <c r="G15" s="12">
        <v>1002003011</v>
      </c>
      <c r="H15" s="12">
        <v>7500</v>
      </c>
      <c r="I15" s="12">
        <v>2200</v>
      </c>
      <c r="J15" s="12">
        <f t="shared" si="0"/>
        <v>5300</v>
      </c>
      <c r="K15" s="11" t="s">
        <v>19</v>
      </c>
      <c r="L15" s="13" t="str">
        <f>IF(K15="Cheque","CHQ"&amp;TEXT(1000+COUNTIF($K$5:K15,"Cheque"),"0"),"N/A")</f>
        <v>N/A</v>
      </c>
      <c r="M15" s="11" t="s">
        <v>80</v>
      </c>
      <c r="N15" s="11" t="s">
        <v>81</v>
      </c>
      <c r="O15" s="11" t="s">
        <v>38</v>
      </c>
      <c r="P15" s="11" t="s">
        <v>39</v>
      </c>
      <c r="Q15" s="14" t="s">
        <v>24</v>
      </c>
    </row>
    <row r="16" ht="15.6" spans="2:17">
      <c r="B16" s="9">
        <v>12</v>
      </c>
      <c r="C16" s="10">
        <v>46154</v>
      </c>
      <c r="D16" s="11" t="s">
        <v>82</v>
      </c>
      <c r="E16" s="11" t="s">
        <v>83</v>
      </c>
      <c r="F16" s="11" t="s">
        <v>84</v>
      </c>
      <c r="G16" s="12">
        <v>1002003012</v>
      </c>
      <c r="H16" s="12">
        <v>13000</v>
      </c>
      <c r="I16" s="12">
        <v>4500</v>
      </c>
      <c r="J16" s="12">
        <f t="shared" si="0"/>
        <v>8500</v>
      </c>
      <c r="K16" s="11" t="s">
        <v>28</v>
      </c>
      <c r="L16" s="13" t="str">
        <f>IF(K16="Cheque","CHQ"&amp;TEXT(1000+COUNTIF($K$5:K16,"Cheque"),"0"),"N/A")</f>
        <v>N/A</v>
      </c>
      <c r="M16" s="11" t="s">
        <v>85</v>
      </c>
      <c r="N16" s="11" t="s">
        <v>86</v>
      </c>
      <c r="O16" s="11" t="s">
        <v>46</v>
      </c>
      <c r="P16" s="11" t="s">
        <v>23</v>
      </c>
      <c r="Q16" s="14" t="s">
        <v>39</v>
      </c>
    </row>
    <row r="17" ht="15.6" spans="2:17">
      <c r="B17" s="9">
        <v>13</v>
      </c>
      <c r="C17" s="10">
        <v>46155</v>
      </c>
      <c r="D17" s="11" t="s">
        <v>87</v>
      </c>
      <c r="E17" s="11" t="s">
        <v>88</v>
      </c>
      <c r="F17" s="11" t="s">
        <v>89</v>
      </c>
      <c r="G17" s="12">
        <v>1002003013</v>
      </c>
      <c r="H17" s="12">
        <v>9000</v>
      </c>
      <c r="I17" s="12">
        <v>5000</v>
      </c>
      <c r="J17" s="12">
        <f t="shared" si="0"/>
        <v>4000</v>
      </c>
      <c r="K17" s="11" t="s">
        <v>35</v>
      </c>
      <c r="L17" s="13" t="str">
        <f>IF(K17="Cheque","CHQ"&amp;TEXT(1000+COUNTIF($K$5:K17,"Cheque"),"0"),"N/A")</f>
        <v>N/A</v>
      </c>
      <c r="M17" s="11" t="s">
        <v>20</v>
      </c>
      <c r="N17" s="11" t="s">
        <v>90</v>
      </c>
      <c r="O17" s="11" t="s">
        <v>22</v>
      </c>
      <c r="P17" s="11" t="s">
        <v>23</v>
      </c>
      <c r="Q17" s="14" t="s">
        <v>24</v>
      </c>
    </row>
    <row r="18" ht="15.6" spans="2:17">
      <c r="B18" s="9">
        <v>14</v>
      </c>
      <c r="C18" s="10">
        <v>46156</v>
      </c>
      <c r="D18" s="11" t="s">
        <v>91</v>
      </c>
      <c r="E18" s="11" t="s">
        <v>92</v>
      </c>
      <c r="F18" s="11" t="s">
        <v>93</v>
      </c>
      <c r="G18" s="12">
        <v>1002003014</v>
      </c>
      <c r="H18" s="12">
        <v>16000</v>
      </c>
      <c r="I18" s="12">
        <v>9000</v>
      </c>
      <c r="J18" s="12">
        <f t="shared" si="0"/>
        <v>7000</v>
      </c>
      <c r="K18" s="11" t="s">
        <v>43</v>
      </c>
      <c r="L18" s="13" t="str">
        <f>IF(K18="Cheque","CHQ"&amp;TEXT(1000+COUNTIF($K$5:K18,"Cheque"),"0"),"N/A")</f>
        <v>CHQ1003</v>
      </c>
      <c r="M18" s="11" t="s">
        <v>94</v>
      </c>
      <c r="N18" s="11" t="s">
        <v>95</v>
      </c>
      <c r="O18" s="11" t="s">
        <v>31</v>
      </c>
      <c r="P18" s="11" t="s">
        <v>39</v>
      </c>
      <c r="Q18" s="14" t="s">
        <v>24</v>
      </c>
    </row>
    <row r="19" ht="15.6" spans="2:17">
      <c r="B19" s="9">
        <v>15</v>
      </c>
      <c r="C19" s="10">
        <v>46157</v>
      </c>
      <c r="D19" s="11" t="s">
        <v>96</v>
      </c>
      <c r="E19" s="11" t="s">
        <v>97</v>
      </c>
      <c r="F19" s="11" t="s">
        <v>98</v>
      </c>
      <c r="G19" s="12">
        <v>1002003015</v>
      </c>
      <c r="H19" s="12">
        <v>8500</v>
      </c>
      <c r="I19" s="12">
        <v>2800</v>
      </c>
      <c r="J19" s="12">
        <f t="shared" si="0"/>
        <v>5700</v>
      </c>
      <c r="K19" s="11" t="s">
        <v>19</v>
      </c>
      <c r="L19" s="13" t="str">
        <f>IF(K19="Cheque","CHQ"&amp;TEXT(1000+COUNTIF($K$5:K19,"Cheque"),"0"),"N/A")</f>
        <v>N/A</v>
      </c>
      <c r="M19" s="11" t="s">
        <v>29</v>
      </c>
      <c r="N19" s="11" t="s">
        <v>99</v>
      </c>
      <c r="O19" s="11" t="s">
        <v>38</v>
      </c>
      <c r="P19" s="11" t="s">
        <v>23</v>
      </c>
      <c r="Q19" s="14" t="s">
        <v>39</v>
      </c>
    </row>
    <row r="20" ht="15.6" spans="2:17">
      <c r="B20" s="9">
        <v>16</v>
      </c>
      <c r="C20" s="10">
        <v>46158</v>
      </c>
      <c r="D20" s="11" t="s">
        <v>100</v>
      </c>
      <c r="E20" s="11" t="s">
        <v>101</v>
      </c>
      <c r="F20" s="11" t="s">
        <v>102</v>
      </c>
      <c r="G20" s="12">
        <v>1002003016</v>
      </c>
      <c r="H20" s="12">
        <v>10500</v>
      </c>
      <c r="I20" s="12">
        <v>3200</v>
      </c>
      <c r="J20" s="12">
        <f t="shared" si="0"/>
        <v>7300</v>
      </c>
      <c r="K20" s="11" t="s">
        <v>28</v>
      </c>
      <c r="L20" s="13" t="str">
        <f>IF(K20="Cheque","CHQ"&amp;TEXT(1000+COUNTIF($K$5:K20,"Cheque"),"0"),"N/A")</f>
        <v>N/A</v>
      </c>
      <c r="M20" s="11" t="s">
        <v>103</v>
      </c>
      <c r="N20" s="11" t="s">
        <v>104</v>
      </c>
      <c r="O20" s="11" t="s">
        <v>46</v>
      </c>
      <c r="P20" s="11" t="s">
        <v>23</v>
      </c>
      <c r="Q20" s="14" t="s">
        <v>24</v>
      </c>
    </row>
    <row r="21" ht="15.6" spans="2:17">
      <c r="B21" s="9">
        <v>17</v>
      </c>
      <c r="C21" s="10">
        <v>46159</v>
      </c>
      <c r="D21" s="11" t="s">
        <v>105</v>
      </c>
      <c r="E21" s="11" t="s">
        <v>106</v>
      </c>
      <c r="F21" s="11" t="s">
        <v>107</v>
      </c>
      <c r="G21" s="12">
        <v>1002003017</v>
      </c>
      <c r="H21" s="12">
        <v>11500</v>
      </c>
      <c r="I21" s="12">
        <v>7000</v>
      </c>
      <c r="J21" s="12">
        <f t="shared" si="0"/>
        <v>4500</v>
      </c>
      <c r="K21" s="11" t="s">
        <v>35</v>
      </c>
      <c r="L21" s="13" t="str">
        <f>IF(K21="Cheque","CHQ"&amp;TEXT(1000+COUNTIF($K$5:K21,"Cheque"),"0"),"N/A")</f>
        <v>N/A</v>
      </c>
      <c r="M21" s="11" t="s">
        <v>108</v>
      </c>
      <c r="N21" s="11" t="s">
        <v>109</v>
      </c>
      <c r="O21" s="11" t="s">
        <v>22</v>
      </c>
      <c r="P21" s="11" t="s">
        <v>39</v>
      </c>
      <c r="Q21" s="14" t="s">
        <v>24</v>
      </c>
    </row>
    <row r="22" ht="15.6" spans="2:17">
      <c r="B22" s="9">
        <v>18</v>
      </c>
      <c r="C22" s="10">
        <v>46160</v>
      </c>
      <c r="D22" s="11" t="s">
        <v>110</v>
      </c>
      <c r="E22" s="11" t="s">
        <v>111</v>
      </c>
      <c r="F22" s="11" t="s">
        <v>112</v>
      </c>
      <c r="G22" s="12">
        <v>1002003018</v>
      </c>
      <c r="H22" s="12">
        <v>7200</v>
      </c>
      <c r="I22" s="12">
        <v>2100</v>
      </c>
      <c r="J22" s="12">
        <f t="shared" si="0"/>
        <v>5100</v>
      </c>
      <c r="K22" s="11" t="s">
        <v>19</v>
      </c>
      <c r="L22" s="13" t="str">
        <f>IF(K22="Cheque","CHQ"&amp;TEXT(1000+COUNTIF($K$5:K22,"Cheque"),"0"),"N/A")</f>
        <v>N/A</v>
      </c>
      <c r="M22" s="11" t="s">
        <v>20</v>
      </c>
      <c r="N22" s="11" t="s">
        <v>113</v>
      </c>
      <c r="O22" s="11" t="s">
        <v>31</v>
      </c>
      <c r="P22" s="11" t="s">
        <v>23</v>
      </c>
      <c r="Q22" s="14" t="s">
        <v>39</v>
      </c>
    </row>
    <row r="23" ht="15.6" spans="2:17">
      <c r="B23" s="9">
        <v>19</v>
      </c>
      <c r="C23" s="10">
        <v>46161</v>
      </c>
      <c r="D23" s="11" t="s">
        <v>114</v>
      </c>
      <c r="E23" s="11" t="s">
        <v>115</v>
      </c>
      <c r="F23" s="11" t="s">
        <v>116</v>
      </c>
      <c r="G23" s="12">
        <v>1002003019</v>
      </c>
      <c r="H23" s="12">
        <v>12500</v>
      </c>
      <c r="I23" s="12">
        <v>4800</v>
      </c>
      <c r="J23" s="12">
        <f t="shared" si="0"/>
        <v>7700</v>
      </c>
      <c r="K23" s="11" t="s">
        <v>43</v>
      </c>
      <c r="L23" s="13" t="str">
        <f>IF(K23="Cheque","CHQ"&amp;TEXT(1000+COUNTIF($K$5:K23,"Cheque"),"0"),"N/A")</f>
        <v>CHQ1004</v>
      </c>
      <c r="M23" s="11" t="s">
        <v>65</v>
      </c>
      <c r="N23" s="11" t="s">
        <v>117</v>
      </c>
      <c r="O23" s="11" t="s">
        <v>38</v>
      </c>
      <c r="P23" s="11" t="s">
        <v>39</v>
      </c>
      <c r="Q23" s="14" t="s">
        <v>24</v>
      </c>
    </row>
    <row r="24" ht="15.6" spans="2:17">
      <c r="B24" s="9">
        <v>20</v>
      </c>
      <c r="C24" s="10">
        <v>46162</v>
      </c>
      <c r="D24" s="11" t="s">
        <v>118</v>
      </c>
      <c r="E24" s="11" t="s">
        <v>119</v>
      </c>
      <c r="F24" s="11" t="s">
        <v>120</v>
      </c>
      <c r="G24" s="12">
        <v>1002003020</v>
      </c>
      <c r="H24" s="12">
        <v>9800</v>
      </c>
      <c r="I24" s="12">
        <v>3900</v>
      </c>
      <c r="J24" s="12">
        <f t="shared" si="0"/>
        <v>5900</v>
      </c>
      <c r="K24" s="11" t="s">
        <v>28</v>
      </c>
      <c r="L24" s="13" t="str">
        <f>IF(K24="Cheque","CHQ"&amp;TEXT(1000+COUNTIF($K$5:K24,"Cheque"),"0"),"N/A")</f>
        <v>N/A</v>
      </c>
      <c r="M24" s="11" t="s">
        <v>36</v>
      </c>
      <c r="N24" s="11" t="s">
        <v>121</v>
      </c>
      <c r="O24" s="11" t="s">
        <v>46</v>
      </c>
      <c r="P24" s="11" t="s">
        <v>23</v>
      </c>
      <c r="Q24" s="14" t="s">
        <v>24</v>
      </c>
    </row>
    <row r="25" ht="15.6" spans="2:17">
      <c r="B25" s="9">
        <v>21</v>
      </c>
      <c r="C25" s="10">
        <v>46163</v>
      </c>
      <c r="D25" s="11" t="s">
        <v>122</v>
      </c>
      <c r="E25" s="11" t="s">
        <v>123</v>
      </c>
      <c r="F25" s="11" t="s">
        <v>124</v>
      </c>
      <c r="G25" s="12">
        <v>1002003021</v>
      </c>
      <c r="H25" s="12">
        <v>14500</v>
      </c>
      <c r="I25" s="12">
        <v>6500</v>
      </c>
      <c r="J25" s="12">
        <f t="shared" si="0"/>
        <v>8000</v>
      </c>
      <c r="K25" s="11" t="s">
        <v>35</v>
      </c>
      <c r="L25" s="13" t="str">
        <f>IF(K25="Cheque","CHQ"&amp;TEXT(1000+COUNTIF($K$5:K25,"Cheque"),"0"),"N/A")</f>
        <v>N/A</v>
      </c>
      <c r="M25" s="11" t="s">
        <v>44</v>
      </c>
      <c r="N25" s="11" t="s">
        <v>125</v>
      </c>
      <c r="O25" s="11" t="s">
        <v>22</v>
      </c>
      <c r="P25" s="11" t="s">
        <v>23</v>
      </c>
      <c r="Q25" s="14" t="s">
        <v>39</v>
      </c>
    </row>
    <row r="26" ht="15.6" spans="2:17">
      <c r="B26" s="9">
        <v>22</v>
      </c>
      <c r="C26" s="10">
        <v>46164</v>
      </c>
      <c r="D26" s="11" t="s">
        <v>126</v>
      </c>
      <c r="E26" s="11" t="s">
        <v>127</v>
      </c>
      <c r="F26" s="11" t="s">
        <v>128</v>
      </c>
      <c r="G26" s="12">
        <v>1002003022</v>
      </c>
      <c r="H26" s="12">
        <v>8800</v>
      </c>
      <c r="I26" s="12">
        <v>2700</v>
      </c>
      <c r="J26" s="12">
        <f t="shared" si="0"/>
        <v>6100</v>
      </c>
      <c r="K26" s="11" t="s">
        <v>19</v>
      </c>
      <c r="L26" s="13" t="str">
        <f>IF(K26="Cheque","CHQ"&amp;TEXT(1000+COUNTIF($K$5:K26,"Cheque"),"0"),"N/A")</f>
        <v>N/A</v>
      </c>
      <c r="M26" s="11" t="s">
        <v>50</v>
      </c>
      <c r="N26" s="11" t="s">
        <v>129</v>
      </c>
      <c r="O26" s="11" t="s">
        <v>31</v>
      </c>
      <c r="P26" s="11" t="s">
        <v>39</v>
      </c>
      <c r="Q26" s="14" t="s">
        <v>24</v>
      </c>
    </row>
    <row r="27" ht="15.6" spans="2:17">
      <c r="B27" s="9">
        <v>23</v>
      </c>
      <c r="C27" s="10">
        <v>46165</v>
      </c>
      <c r="D27" s="11" t="s">
        <v>130</v>
      </c>
      <c r="E27" s="11" t="s">
        <v>131</v>
      </c>
      <c r="F27" s="11" t="s">
        <v>132</v>
      </c>
      <c r="G27" s="12">
        <v>1002003023</v>
      </c>
      <c r="H27" s="12">
        <v>10200</v>
      </c>
      <c r="I27" s="12">
        <v>3100</v>
      </c>
      <c r="J27" s="12">
        <f t="shared" si="0"/>
        <v>7100</v>
      </c>
      <c r="K27" s="11" t="s">
        <v>28</v>
      </c>
      <c r="L27" s="13" t="str">
        <f>IF(K27="Cheque","CHQ"&amp;TEXT(1000+COUNTIF($K$5:K27,"Cheque"),"0"),"N/A")</f>
        <v>N/A</v>
      </c>
      <c r="M27" s="11" t="s">
        <v>29</v>
      </c>
      <c r="N27" s="11" t="s">
        <v>133</v>
      </c>
      <c r="O27" s="11" t="s">
        <v>38</v>
      </c>
      <c r="P27" s="11" t="s">
        <v>23</v>
      </c>
      <c r="Q27" s="14" t="s">
        <v>24</v>
      </c>
    </row>
    <row r="28" ht="15.6" spans="2:17">
      <c r="B28" s="9">
        <v>24</v>
      </c>
      <c r="C28" s="10">
        <v>46166</v>
      </c>
      <c r="D28" s="11" t="s">
        <v>134</v>
      </c>
      <c r="E28" s="11" t="s">
        <v>135</v>
      </c>
      <c r="F28" s="11" t="s">
        <v>136</v>
      </c>
      <c r="G28" s="12">
        <v>1002003024</v>
      </c>
      <c r="H28" s="12">
        <v>13400</v>
      </c>
      <c r="I28" s="12">
        <v>5200</v>
      </c>
      <c r="J28" s="12">
        <f t="shared" si="0"/>
        <v>8200</v>
      </c>
      <c r="K28" s="11" t="s">
        <v>43</v>
      </c>
      <c r="L28" s="13" t="str">
        <f>IF(K28="Cheque","CHQ"&amp;TEXT(1000+COUNTIF($K$5:K28,"Cheque"),"0"),"N/A")</f>
        <v>CHQ1005</v>
      </c>
      <c r="M28" s="11" t="s">
        <v>20</v>
      </c>
      <c r="N28" s="11" t="s">
        <v>137</v>
      </c>
      <c r="O28" s="11" t="s">
        <v>46</v>
      </c>
      <c r="P28" s="11" t="s">
        <v>23</v>
      </c>
      <c r="Q28" s="14" t="s">
        <v>39</v>
      </c>
    </row>
    <row r="29" ht="15.6" spans="2:17">
      <c r="B29" s="9">
        <v>25</v>
      </c>
      <c r="C29" s="10">
        <v>46167</v>
      </c>
      <c r="D29" s="11" t="s">
        <v>138</v>
      </c>
      <c r="E29" s="11" t="s">
        <v>139</v>
      </c>
      <c r="F29" s="11" t="s">
        <v>140</v>
      </c>
      <c r="G29" s="12">
        <v>1002003025</v>
      </c>
      <c r="H29" s="12">
        <v>9200</v>
      </c>
      <c r="I29" s="12">
        <v>4300</v>
      </c>
      <c r="J29" s="12">
        <f t="shared" si="0"/>
        <v>4900</v>
      </c>
      <c r="K29" s="11" t="s">
        <v>35</v>
      </c>
      <c r="L29" s="13" t="str">
        <f>IF(K29="Cheque","CHQ"&amp;TEXT(1000+COUNTIF($K$5:K29,"Cheque"),"0"),"N/A")</f>
        <v>N/A</v>
      </c>
      <c r="M29" s="11" t="s">
        <v>103</v>
      </c>
      <c r="N29" s="11" t="s">
        <v>141</v>
      </c>
      <c r="O29" s="11" t="s">
        <v>22</v>
      </c>
      <c r="P29" s="11" t="s">
        <v>39</v>
      </c>
      <c r="Q29" s="14" t="s">
        <v>24</v>
      </c>
    </row>
    <row r="30" ht="15.6" spans="2:17">
      <c r="B30" s="9">
        <v>26</v>
      </c>
      <c r="C30" s="10">
        <v>46168</v>
      </c>
      <c r="D30" s="11" t="s">
        <v>142</v>
      </c>
      <c r="E30" s="11" t="s">
        <v>143</v>
      </c>
      <c r="F30" s="11" t="s">
        <v>144</v>
      </c>
      <c r="G30" s="12">
        <v>1002003026</v>
      </c>
      <c r="H30" s="12">
        <v>15800</v>
      </c>
      <c r="I30" s="12">
        <v>8500</v>
      </c>
      <c r="J30" s="12">
        <f t="shared" si="0"/>
        <v>7300</v>
      </c>
      <c r="K30" s="11" t="s">
        <v>19</v>
      </c>
      <c r="L30" s="13" t="str">
        <f>IF(K30="Cheque","CHQ"&amp;TEXT(1000+COUNTIF($K$5:K30,"Cheque"),"0"),"N/A")</f>
        <v>N/A</v>
      </c>
      <c r="M30" s="11" t="s">
        <v>145</v>
      </c>
      <c r="N30" s="11" t="s">
        <v>146</v>
      </c>
      <c r="O30" s="11" t="s">
        <v>31</v>
      </c>
      <c r="P30" s="11" t="s">
        <v>23</v>
      </c>
      <c r="Q30" s="14" t="s">
        <v>24</v>
      </c>
    </row>
    <row r="31" ht="15.6" spans="2:17">
      <c r="B31" s="9">
        <v>27</v>
      </c>
      <c r="C31" s="10">
        <v>46169</v>
      </c>
      <c r="D31" s="11" t="s">
        <v>147</v>
      </c>
      <c r="E31" s="11" t="s">
        <v>148</v>
      </c>
      <c r="F31" s="11" t="s">
        <v>149</v>
      </c>
      <c r="G31" s="12">
        <v>1002003027</v>
      </c>
      <c r="H31" s="12">
        <v>7700</v>
      </c>
      <c r="I31" s="12">
        <v>2400</v>
      </c>
      <c r="J31" s="12">
        <f t="shared" si="0"/>
        <v>5300</v>
      </c>
      <c r="K31" s="11" t="s">
        <v>28</v>
      </c>
      <c r="L31" s="13" t="str">
        <f>IF(K31="Cheque","CHQ"&amp;TEXT(1000+COUNTIF($K$5:K31,"Cheque"),"0"),"N/A")</f>
        <v>N/A</v>
      </c>
      <c r="M31" s="11" t="s">
        <v>65</v>
      </c>
      <c r="N31" s="11" t="s">
        <v>150</v>
      </c>
      <c r="O31" s="11" t="s">
        <v>38</v>
      </c>
      <c r="P31" s="11" t="s">
        <v>39</v>
      </c>
      <c r="Q31" s="14" t="s">
        <v>39</v>
      </c>
    </row>
    <row r="32" ht="15.6" spans="2:17">
      <c r="B32" s="9">
        <v>28</v>
      </c>
      <c r="C32" s="10">
        <v>46170</v>
      </c>
      <c r="D32" s="11" t="s">
        <v>151</v>
      </c>
      <c r="E32" s="11" t="s">
        <v>152</v>
      </c>
      <c r="F32" s="11" t="s">
        <v>153</v>
      </c>
      <c r="G32" s="12">
        <v>1002003028</v>
      </c>
      <c r="H32" s="12">
        <v>11900</v>
      </c>
      <c r="I32" s="12">
        <v>5600</v>
      </c>
      <c r="J32" s="12">
        <f t="shared" si="0"/>
        <v>6300</v>
      </c>
      <c r="K32" s="11" t="s">
        <v>35</v>
      </c>
      <c r="L32" s="13" t="str">
        <f>IF(K32="Cheque","CHQ"&amp;TEXT(1000+COUNTIF($K$5:K32,"Cheque"),"0"),"N/A")</f>
        <v>N/A</v>
      </c>
      <c r="M32" s="11" t="s">
        <v>154</v>
      </c>
      <c r="N32" s="11" t="s">
        <v>155</v>
      </c>
      <c r="O32" s="11" t="s">
        <v>46</v>
      </c>
      <c r="P32" s="11" t="s">
        <v>23</v>
      </c>
      <c r="Q32" s="14" t="s">
        <v>24</v>
      </c>
    </row>
    <row r="33" ht="15.6" spans="2:17">
      <c r="B33" s="9">
        <v>29</v>
      </c>
      <c r="C33" s="10">
        <v>46171</v>
      </c>
      <c r="D33" s="11" t="s">
        <v>156</v>
      </c>
      <c r="E33" s="11" t="s">
        <v>157</v>
      </c>
      <c r="F33" s="11" t="s">
        <v>158</v>
      </c>
      <c r="G33" s="12">
        <v>1002003029</v>
      </c>
      <c r="H33" s="12">
        <v>13600</v>
      </c>
      <c r="I33" s="12">
        <v>6100</v>
      </c>
      <c r="J33" s="12">
        <f t="shared" si="0"/>
        <v>7500</v>
      </c>
      <c r="K33" s="11" t="s">
        <v>43</v>
      </c>
      <c r="L33" s="13" t="str">
        <f>IF(K33="Cheque","CHQ"&amp;TEXT(1000+COUNTIF($K$5:K33,"Cheque"),"0"),"N/A")</f>
        <v>CHQ1006</v>
      </c>
      <c r="M33" s="11" t="s">
        <v>85</v>
      </c>
      <c r="N33" s="11" t="s">
        <v>159</v>
      </c>
      <c r="O33" s="11" t="s">
        <v>22</v>
      </c>
      <c r="P33" s="11" t="s">
        <v>23</v>
      </c>
      <c r="Q33" s="14" t="s">
        <v>24</v>
      </c>
    </row>
    <row r="34" ht="16.35" spans="2:17">
      <c r="B34" s="15">
        <v>30</v>
      </c>
      <c r="C34" s="16">
        <v>46172</v>
      </c>
      <c r="D34" s="17" t="s">
        <v>160</v>
      </c>
      <c r="E34" s="17" t="s">
        <v>161</v>
      </c>
      <c r="F34" s="17" t="s">
        <v>162</v>
      </c>
      <c r="G34" s="18">
        <v>1002003030</v>
      </c>
      <c r="H34" s="18">
        <v>9900</v>
      </c>
      <c r="I34" s="18">
        <v>3700</v>
      </c>
      <c r="J34" s="18">
        <f t="shared" si="0"/>
        <v>6200</v>
      </c>
      <c r="K34" s="17" t="s">
        <v>19</v>
      </c>
      <c r="L34" s="17" t="str">
        <f>IF(K34="Cheque","CHQ"&amp;TEXT(1000+COUNTIF($K$5:K34,"Cheque"),"0"),"N/A")</f>
        <v>N/A</v>
      </c>
      <c r="M34" s="17" t="s">
        <v>163</v>
      </c>
      <c r="N34" s="17" t="s">
        <v>164</v>
      </c>
      <c r="O34" s="17" t="s">
        <v>31</v>
      </c>
      <c r="P34" s="17" t="s">
        <v>39</v>
      </c>
      <c r="Q34" s="19" t="s">
        <v>39</v>
      </c>
    </row>
    <row r="38" ht="15.15" spans="2:17">
      <c r="G38" s="20" t="s">
        <v>165</v>
      </c>
      <c r="H38" s="21">
        <f>SUM(H5:H34)</f>
        <v>318000</v>
      </c>
    </row>
    <row r="39" ht="15.15" spans="2:17">
      <c r="G39" s="20" t="s">
        <v>166</v>
      </c>
      <c r="H39" s="21">
        <f>SUM(I5:I34)</f>
        <v>135100</v>
      </c>
    </row>
  </sheetData>
  <mergeCells count="16"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</dc:creator>
  <cp:lastModifiedBy>Shaban Arshad</cp:lastModifiedBy>
  <dcterms:created xsi:type="dcterms:W3CDTF">2026-05-07T14:50:00Z</dcterms:created>
  <dcterms:modified xsi:type="dcterms:W3CDTF">2026-05-07T16:48:51Z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1491B0C2D3D0437DB416DCA87C53B332_11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