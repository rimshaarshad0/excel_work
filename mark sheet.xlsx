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<sst xmlns="http://schemas.openxmlformats.org/spreadsheetml/2006/main" count="43" uniqueCount="42">
  <si>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ANNUAL EXAMINATION RESULT 2026</t>
  </si>
  <si>
    <t>Roll No</t>
  </si>
  <si>
    <t>Name</t>
  </si>
  <si>
    <t>Math</t>
  </si>
  <si>
    <t>Science</t>
  </si>
  <si>
    <t>English</t>
  </si>
  <si>
    <t>Computer</t>
  </si>
  <si>
    <t>Total</t>
  </si>
  <si>
    <t>Percentage</t>
  </si>
  <si>
    <t>Grade</t>
  </si>
  <si>
    <t>Status</t>
  </si>
  <si>
    <t>Ahmed Raza</t>
  </si>
  <si>
    <t>Muhammad Ali</t>
  </si>
  <si>
    <t>Hassan Khan</t>
  </si>
  <si>
    <t>Usman Tariq</t>
  </si>
  <si>
    <t>Bilal Ahmed</t>
  </si>
  <si>
    <t>Hamza Malik</t>
  </si>
  <si>
    <t>Zain Abbas</t>
  </si>
  <si>
    <t>Fahad Sheikh</t>
  </si>
  <si>
    <t>Imran Qureshi</t>
  </si>
  <si>
    <t>Saad Hussain</t>
  </si>
  <si>
    <t>Ayesha Khan</t>
  </si>
  <si>
    <t>Fatima Zahra</t>
  </si>
  <si>
    <t>Zainab Ali</t>
  </si>
  <si>
    <t>Hira Ahmed</t>
  </si>
  <si>
    <t>Sana Malik</t>
  </si>
  <si>
    <t>Maryam Nawaz</t>
  </si>
  <si>
    <t>Iqra Hussain</t>
  </si>
  <si>
    <t>Noor Fatima</t>
  </si>
  <si>
    <t>Mahnoor Sheikh</t>
  </si>
  <si>
    <t>Rabia Raza</t>
  </si>
  <si>
    <t>Daniyal Ahmed</t>
  </si>
  <si>
    <t>Talha Qureshi</t>
  </si>
  <si>
    <t>Abdul Rehman</t>
  </si>
  <si>
    <t>Umer Farooq</t>
  </si>
  <si>
    <t>Shayan Khan</t>
  </si>
  <si>
    <t>Positions</t>
  </si>
  <si>
    <t>Marks</t>
  </si>
  <si>
    <t>Remarks</t>
  </si>
  <si>
    <t>1st</t>
  </si>
  <si>
    <t>2nd</t>
  </si>
  <si>
    <t>3rd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</si>
</sst>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NumberFormat="1" applyBorder="1">
      <alignment vertical="center"/>
    </xf>
    <xf numFmtId="0" fontId="0" fillId="2" borderId="0" xfId="0" applyNumberFormat="1" applyFill="1" applyBorder="1">
      <alignment vertical="center"/>
    </xf>
    <xf numFmtId="0" fontId="0" fillId="0" borderId="0" xfId="0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NumberForma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8"/>
  <sheetViews>
    <sheetView tabSelected="1" zoomScale="88" zoomScaleNormal="88" workbookViewId="0">
      <selection activeCell="B2" sqref="B2:K4"/>
    </sheetView>
  </sheetViews>
  <sheetFormatPr defaultColWidth="8.88888888888889" defaultRowHeight="14.4"/>
  <cols>
    <col min="2" max="2" width="12" customWidth="1"/>
    <col min="3" max="3" width="17.7777777777778" customWidth="1"/>
    <col min="4" max="4" width="17.6666666666667" customWidth="1"/>
    <col min="5" max="5" width="17.7777777777778" customWidth="1"/>
    <col min="6" max="7" width="17.6666666666667" customWidth="1"/>
    <col min="8" max="8" width="15" customWidth="1"/>
    <col min="9" max="9" width="14.8888888888889" customWidth="1"/>
    <col min="10" max="10" width="13.5092592592593" customWidth="1"/>
    <col min="11" max="11" width="15.3981481481481" customWidth="1"/>
  </cols>
  <sheetData>
    <row r="1" ht="15.15"/>
    <row r="2" spans="2:11">
      <c r="B2" s="1" t="s">
        <v>0</v>
      </c>
      <c r="C2" s="2"/>
      <c r="D2" s="2"/>
      <c r="E2" s="2"/>
      <c r="F2" s="2"/>
      <c r="G2" s="2"/>
      <c r="H2" s="2"/>
      <c r="I2" s="2"/>
      <c r="J2" s="2"/>
      <c r="K2" s="27"/>
    </row>
    <row r="3" spans="2:11">
      <c r="B3" s="3"/>
      <c r="C3" s="4"/>
      <c r="D3" s="4"/>
      <c r="E3" s="4"/>
      <c r="F3" s="4"/>
      <c r="G3" s="4"/>
      <c r="H3" s="4"/>
      <c r="I3" s="4"/>
      <c r="J3" s="4"/>
      <c r="K3" s="28"/>
    </row>
    <row r="4" ht="15.15" spans="2:11">
      <c r="B4" s="3"/>
      <c r="C4" s="5"/>
      <c r="D4" s="5"/>
      <c r="E4" s="5"/>
      <c r="F4" s="5"/>
      <c r="G4" s="5"/>
      <c r="H4" s="5"/>
      <c r="I4" s="5"/>
      <c r="J4" s="5"/>
      <c r="K4" s="28"/>
    </row>
    <row r="5" ht="29" customHeight="1" spans="2:11">
      <c r="B5" s="6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21" t="s">
        <v>10</v>
      </c>
    </row>
    <row r="6" spans="2:11">
      <c r="B6" s="8">
        <v>1</v>
      </c>
      <c r="C6" s="9" t="s">
        <v>11</v>
      </c>
      <c r="D6" s="9">
        <v>78</v>
      </c>
      <c r="E6" s="9">
        <v>72</v>
      </c>
      <c r="F6" s="9">
        <v>75</v>
      </c>
      <c r="G6" s="9">
        <v>82</v>
      </c>
      <c r="H6" s="10">
        <f>SUM(D6:G6)</f>
        <v>307</v>
      </c>
      <c r="I6" s="9">
        <f>(H6/400)*100</f>
        <v>76.75</v>
      </c>
      <c r="J6" s="29" t="str">
        <f>IF(I6&gt;=90,"A+",IF(I6&gt;=80,"A",IF(I6&gt;=70,"B",IF(I6&gt;=60,"C",IF(I6&gt;=50,"D","F")))))</f>
        <v>B</v>
      </c>
      <c r="K6" s="25" t="str">
        <f>IF(I6&gt;=40,"PASS","FAIL")</f>
        <v>PASS</v>
      </c>
    </row>
    <row r="7" spans="2:11">
      <c r="B7" s="8">
        <v>2</v>
      </c>
      <c r="C7" s="9" t="s">
        <v>12</v>
      </c>
      <c r="D7" s="9">
        <v>65</v>
      </c>
      <c r="E7" s="9">
        <v>81</v>
      </c>
      <c r="F7" s="9">
        <v>68</v>
      </c>
      <c r="G7" s="9">
        <v>74</v>
      </c>
      <c r="H7" s="10">
        <f t="shared" ref="H7:H30" si="0">SUM(D7:G7)</f>
        <v>288</v>
      </c>
      <c r="I7" s="9">
        <f t="shared" ref="I7:I30" si="1">(H7/400)*100</f>
        <v>72</v>
      </c>
      <c r="J7" s="29" t="str">
        <f t="shared" ref="J7:J30" si="2">IF(I7&gt;=90,"A+",IF(I7&gt;=80,"A",IF(I7&gt;=70,"B",IF(I7&gt;=60,"C",IF(I7&gt;=50,"D","F")))))</f>
        <v>B</v>
      </c>
      <c r="K7" s="25" t="str">
        <f t="shared" ref="K7:K30" si="3">IF(I7&gt;=40,"PASS","FAIL")</f>
        <v>PASS</v>
      </c>
    </row>
    <row r="8" spans="2:11">
      <c r="B8" s="8">
        <v>3</v>
      </c>
      <c r="C8" s="9" t="s">
        <v>13</v>
      </c>
      <c r="D8" s="9">
        <v>89</v>
      </c>
      <c r="E8" s="9">
        <v>67</v>
      </c>
      <c r="F8" s="9">
        <v>82</v>
      </c>
      <c r="G8" s="9">
        <v>91</v>
      </c>
      <c r="H8" s="10">
        <f t="shared" si="0"/>
        <v>329</v>
      </c>
      <c r="I8" s="9">
        <f t="shared" si="1"/>
        <v>82.25</v>
      </c>
      <c r="J8" s="29" t="str">
        <f t="shared" si="2"/>
        <v>A</v>
      </c>
      <c r="K8" s="25" t="str">
        <f t="shared" si="3"/>
        <v>PASS</v>
      </c>
    </row>
    <row r="9" spans="2:11">
      <c r="B9" s="8">
        <v>4</v>
      </c>
      <c r="C9" s="9" t="s">
        <v>14</v>
      </c>
      <c r="D9" s="9">
        <v>92</v>
      </c>
      <c r="E9" s="9">
        <v>90</v>
      </c>
      <c r="F9" s="9">
        <v>88</v>
      </c>
      <c r="G9" s="9">
        <v>87</v>
      </c>
      <c r="H9" s="10">
        <f t="shared" si="0"/>
        <v>357</v>
      </c>
      <c r="I9" s="9">
        <f t="shared" si="1"/>
        <v>89.25</v>
      </c>
      <c r="J9" s="29" t="str">
        <f t="shared" si="2"/>
        <v>A</v>
      </c>
      <c r="K9" s="25" t="str">
        <f t="shared" si="3"/>
        <v>PASS</v>
      </c>
    </row>
    <row r="10" spans="2:11">
      <c r="B10" s="8">
        <v>5</v>
      </c>
      <c r="C10" s="9" t="s">
        <v>15</v>
      </c>
      <c r="D10" s="9">
        <v>56</v>
      </c>
      <c r="E10" s="9">
        <v>54</v>
      </c>
      <c r="F10" s="9">
        <v>60</v>
      </c>
      <c r="G10" s="9">
        <v>65</v>
      </c>
      <c r="H10" s="10">
        <f t="shared" si="0"/>
        <v>235</v>
      </c>
      <c r="I10" s="9">
        <f t="shared" si="1"/>
        <v>58.75</v>
      </c>
      <c r="J10" s="29" t="str">
        <f t="shared" si="2"/>
        <v>D</v>
      </c>
      <c r="K10" s="25" t="str">
        <f t="shared" si="3"/>
        <v>PASS</v>
      </c>
    </row>
    <row r="11" spans="2:11">
      <c r="B11" s="8">
        <v>6</v>
      </c>
      <c r="C11" s="9" t="s">
        <v>16</v>
      </c>
      <c r="D11" s="9">
        <v>73</v>
      </c>
      <c r="E11" s="9">
        <v>76</v>
      </c>
      <c r="F11" s="9">
        <v>71</v>
      </c>
      <c r="G11" s="9">
        <v>79</v>
      </c>
      <c r="H11" s="10">
        <f t="shared" si="0"/>
        <v>299</v>
      </c>
      <c r="I11" s="9">
        <f t="shared" si="1"/>
        <v>74.75</v>
      </c>
      <c r="J11" s="29" t="str">
        <f t="shared" si="2"/>
        <v>B</v>
      </c>
      <c r="K11" s="25" t="str">
        <f t="shared" si="3"/>
        <v>PASS</v>
      </c>
    </row>
    <row r="12" spans="2:11">
      <c r="B12" s="8">
        <v>7</v>
      </c>
      <c r="C12" s="9" t="s">
        <v>17</v>
      </c>
      <c r="D12" s="9">
        <v>84</v>
      </c>
      <c r="E12" s="9">
        <v>88</v>
      </c>
      <c r="F12" s="9">
        <v>85</v>
      </c>
      <c r="G12" s="9">
        <v>93</v>
      </c>
      <c r="H12" s="10">
        <f t="shared" si="0"/>
        <v>350</v>
      </c>
      <c r="I12" s="9">
        <f t="shared" si="1"/>
        <v>87.5</v>
      </c>
      <c r="J12" s="29" t="str">
        <f t="shared" si="2"/>
        <v>A</v>
      </c>
      <c r="K12" s="25" t="str">
        <f t="shared" si="3"/>
        <v>PASS</v>
      </c>
    </row>
    <row r="13" spans="2:11">
      <c r="B13" s="8">
        <v>8</v>
      </c>
      <c r="C13" s="9" t="s">
        <v>18</v>
      </c>
      <c r="D13" s="9">
        <v>61</v>
      </c>
      <c r="E13" s="9">
        <v>63</v>
      </c>
      <c r="F13" s="9">
        <v>66</v>
      </c>
      <c r="G13" s="9">
        <v>68</v>
      </c>
      <c r="H13" s="10">
        <f t="shared" si="0"/>
        <v>258</v>
      </c>
      <c r="I13" s="9">
        <f t="shared" si="1"/>
        <v>64.5</v>
      </c>
      <c r="J13" s="29" t="str">
        <f t="shared" si="2"/>
        <v>C</v>
      </c>
      <c r="K13" s="25" t="str">
        <f t="shared" si="3"/>
        <v>PASS</v>
      </c>
    </row>
    <row r="14" spans="2:11">
      <c r="B14" s="8">
        <v>9</v>
      </c>
      <c r="C14" s="9" t="s">
        <v>19</v>
      </c>
      <c r="D14" s="9">
        <v>47</v>
      </c>
      <c r="E14" s="9">
        <v>49</v>
      </c>
      <c r="F14" s="9">
        <v>50</v>
      </c>
      <c r="G14" s="9">
        <v>55</v>
      </c>
      <c r="H14" s="10">
        <f t="shared" si="0"/>
        <v>201</v>
      </c>
      <c r="I14" s="9">
        <f t="shared" si="1"/>
        <v>50.25</v>
      </c>
      <c r="J14" s="29" t="str">
        <f t="shared" si="2"/>
        <v>D</v>
      </c>
      <c r="K14" s="25" t="str">
        <f t="shared" si="3"/>
        <v>PASS</v>
      </c>
    </row>
    <row r="15" spans="2:11">
      <c r="B15" s="8">
        <v>10</v>
      </c>
      <c r="C15" s="9" t="s">
        <v>20</v>
      </c>
      <c r="D15" s="9">
        <v>90</v>
      </c>
      <c r="E15" s="9">
        <v>85</v>
      </c>
      <c r="F15" s="9">
        <v>91</v>
      </c>
      <c r="G15" s="9">
        <v>96</v>
      </c>
      <c r="H15" s="11">
        <f t="shared" si="0"/>
        <v>362</v>
      </c>
      <c r="I15" s="9">
        <f t="shared" si="1"/>
        <v>90.5</v>
      </c>
      <c r="J15" s="29" t="str">
        <f t="shared" si="2"/>
        <v>A+</v>
      </c>
      <c r="K15" s="25" t="str">
        <f t="shared" si="3"/>
        <v>PASS</v>
      </c>
    </row>
    <row r="16" spans="2:11">
      <c r="B16" s="8">
        <v>11</v>
      </c>
      <c r="C16" s="9" t="s">
        <v>21</v>
      </c>
      <c r="D16" s="9">
        <v>68</v>
      </c>
      <c r="E16" s="9">
        <v>70</v>
      </c>
      <c r="F16" s="9">
        <v>73</v>
      </c>
      <c r="G16" s="9">
        <v>72</v>
      </c>
      <c r="H16" s="10">
        <f t="shared" si="0"/>
        <v>283</v>
      </c>
      <c r="I16" s="9">
        <f t="shared" si="1"/>
        <v>70.75</v>
      </c>
      <c r="J16" s="29" t="str">
        <f t="shared" si="2"/>
        <v>B</v>
      </c>
      <c r="K16" s="25" t="str">
        <f t="shared" si="3"/>
        <v>PASS</v>
      </c>
    </row>
    <row r="17" spans="2:11">
      <c r="B17" s="8">
        <v>12</v>
      </c>
      <c r="C17" s="9" t="s">
        <v>22</v>
      </c>
      <c r="D17" s="9">
        <v>75</v>
      </c>
      <c r="E17" s="9">
        <v>79</v>
      </c>
      <c r="F17" s="9">
        <v>78</v>
      </c>
      <c r="G17" s="9">
        <v>84</v>
      </c>
      <c r="H17" s="10">
        <f t="shared" si="0"/>
        <v>316</v>
      </c>
      <c r="I17" s="9">
        <f t="shared" si="1"/>
        <v>79</v>
      </c>
      <c r="J17" s="29" t="str">
        <f t="shared" si="2"/>
        <v>B</v>
      </c>
      <c r="K17" s="25" t="str">
        <f t="shared" si="3"/>
        <v>PASS</v>
      </c>
    </row>
    <row r="18" spans="2:11">
      <c r="B18" s="8">
        <v>13</v>
      </c>
      <c r="C18" s="9" t="s">
        <v>23</v>
      </c>
      <c r="D18" s="9">
        <v>82</v>
      </c>
      <c r="E18" s="9">
        <v>83</v>
      </c>
      <c r="F18" s="9">
        <v>80</v>
      </c>
      <c r="G18" s="9">
        <v>89</v>
      </c>
      <c r="H18" s="10">
        <f t="shared" si="0"/>
        <v>334</v>
      </c>
      <c r="I18" s="9">
        <f t="shared" si="1"/>
        <v>83.5</v>
      </c>
      <c r="J18" s="29" t="str">
        <f t="shared" si="2"/>
        <v>A</v>
      </c>
      <c r="K18" s="25" t="str">
        <f t="shared" si="3"/>
        <v>PASS</v>
      </c>
    </row>
    <row r="19" spans="2:11">
      <c r="B19" s="8">
        <v>14</v>
      </c>
      <c r="C19" s="9" t="s">
        <v>24</v>
      </c>
      <c r="D19" s="9">
        <v>59</v>
      </c>
      <c r="E19" s="9">
        <v>58</v>
      </c>
      <c r="F19" s="9">
        <v>62</v>
      </c>
      <c r="G19" s="9">
        <v>61</v>
      </c>
      <c r="H19" s="10">
        <f t="shared" si="0"/>
        <v>240</v>
      </c>
      <c r="I19" s="9">
        <f t="shared" si="1"/>
        <v>60</v>
      </c>
      <c r="J19" s="29" t="str">
        <f t="shared" si="2"/>
        <v>C</v>
      </c>
      <c r="K19" s="25" t="str">
        <f t="shared" si="3"/>
        <v>PASS</v>
      </c>
    </row>
    <row r="20" spans="2:11">
      <c r="B20" s="8">
        <v>15</v>
      </c>
      <c r="C20" s="9" t="s">
        <v>25</v>
      </c>
      <c r="D20" s="9">
        <v>95</v>
      </c>
      <c r="E20" s="9">
        <v>92</v>
      </c>
      <c r="F20" s="9">
        <v>94</v>
      </c>
      <c r="G20" s="9">
        <v>98</v>
      </c>
      <c r="H20" s="11">
        <f t="shared" si="0"/>
        <v>379</v>
      </c>
      <c r="I20" s="9">
        <f t="shared" si="1"/>
        <v>94.75</v>
      </c>
      <c r="J20" s="29" t="str">
        <f t="shared" si="2"/>
        <v>A+</v>
      </c>
      <c r="K20" s="25" t="str">
        <f t="shared" si="3"/>
        <v>PASS</v>
      </c>
    </row>
    <row r="21" spans="2:11">
      <c r="B21" s="8">
        <v>16</v>
      </c>
      <c r="C21" s="9" t="s">
        <v>26</v>
      </c>
      <c r="D21" s="9">
        <v>71</v>
      </c>
      <c r="E21" s="9">
        <v>74</v>
      </c>
      <c r="F21" s="9">
        <v>69</v>
      </c>
      <c r="G21" s="9">
        <v>76</v>
      </c>
      <c r="H21" s="10">
        <f t="shared" si="0"/>
        <v>290</v>
      </c>
      <c r="I21" s="9">
        <f t="shared" si="1"/>
        <v>72.5</v>
      </c>
      <c r="J21" s="29" t="str">
        <f t="shared" si="2"/>
        <v>B</v>
      </c>
      <c r="K21" s="25" t="str">
        <f t="shared" si="3"/>
        <v>PASS</v>
      </c>
    </row>
    <row r="22" spans="2:11">
      <c r="B22" s="8">
        <v>17</v>
      </c>
      <c r="C22" s="9" t="s">
        <v>27</v>
      </c>
      <c r="D22" s="9">
        <v>64</v>
      </c>
      <c r="E22" s="9">
        <v>66</v>
      </c>
      <c r="F22" s="9">
        <v>64</v>
      </c>
      <c r="G22" s="9">
        <v>69</v>
      </c>
      <c r="H22" s="12">
        <f t="shared" si="0"/>
        <v>263</v>
      </c>
      <c r="I22" s="9">
        <f t="shared" si="1"/>
        <v>65.75</v>
      </c>
      <c r="J22" s="29" t="str">
        <f t="shared" si="2"/>
        <v>C</v>
      </c>
      <c r="K22" s="25" t="str">
        <f t="shared" si="3"/>
        <v>PASS</v>
      </c>
    </row>
    <row r="23" spans="2:11">
      <c r="B23" s="8">
        <v>18</v>
      </c>
      <c r="C23" s="9" t="s">
        <v>28</v>
      </c>
      <c r="D23" s="9">
        <v>88</v>
      </c>
      <c r="E23" s="9">
        <v>87</v>
      </c>
      <c r="F23" s="9">
        <v>86</v>
      </c>
      <c r="G23" s="9">
        <v>90</v>
      </c>
      <c r="H23" s="10">
        <f t="shared" si="0"/>
        <v>351</v>
      </c>
      <c r="I23" s="9">
        <f t="shared" si="1"/>
        <v>87.75</v>
      </c>
      <c r="J23" s="29" t="str">
        <f t="shared" si="2"/>
        <v>A</v>
      </c>
      <c r="K23" s="25" t="str">
        <f t="shared" si="3"/>
        <v>PASS</v>
      </c>
    </row>
    <row r="24" spans="2:11">
      <c r="B24" s="8">
        <v>19</v>
      </c>
      <c r="C24" s="9" t="s">
        <v>29</v>
      </c>
      <c r="D24" s="9">
        <v>53</v>
      </c>
      <c r="E24" s="9">
        <v>52</v>
      </c>
      <c r="F24" s="9">
        <v>55</v>
      </c>
      <c r="G24" s="9">
        <v>58</v>
      </c>
      <c r="H24" s="10">
        <f t="shared" si="0"/>
        <v>218</v>
      </c>
      <c r="I24" s="9">
        <f t="shared" si="1"/>
        <v>54.5</v>
      </c>
      <c r="J24" s="29" t="str">
        <f t="shared" si="2"/>
        <v>D</v>
      </c>
      <c r="K24" s="25" t="str">
        <f t="shared" si="3"/>
        <v>PASS</v>
      </c>
    </row>
    <row r="25" spans="2:11">
      <c r="B25" s="8">
        <v>20</v>
      </c>
      <c r="C25" s="9" t="s">
        <v>30</v>
      </c>
      <c r="D25" s="9">
        <v>77</v>
      </c>
      <c r="E25" s="9">
        <v>80</v>
      </c>
      <c r="F25" s="9">
        <v>77</v>
      </c>
      <c r="G25" s="9">
        <v>81</v>
      </c>
      <c r="H25" s="10">
        <f t="shared" si="0"/>
        <v>315</v>
      </c>
      <c r="I25" s="9">
        <f t="shared" si="1"/>
        <v>78.75</v>
      </c>
      <c r="J25" s="29" t="str">
        <f t="shared" si="2"/>
        <v>B</v>
      </c>
      <c r="K25" s="25" t="str">
        <f t="shared" si="3"/>
        <v>PASS</v>
      </c>
    </row>
    <row r="26" spans="2:11">
      <c r="B26" s="8">
        <v>21</v>
      </c>
      <c r="C26" s="9" t="s">
        <v>31</v>
      </c>
      <c r="D26" s="9">
        <v>69</v>
      </c>
      <c r="E26" s="9">
        <v>69</v>
      </c>
      <c r="F26" s="9">
        <v>70</v>
      </c>
      <c r="G26" s="9">
        <v>73</v>
      </c>
      <c r="H26" s="10">
        <f t="shared" si="0"/>
        <v>281</v>
      </c>
      <c r="I26" s="9">
        <f t="shared" si="1"/>
        <v>70.25</v>
      </c>
      <c r="J26" s="29" t="str">
        <f t="shared" si="2"/>
        <v>B</v>
      </c>
      <c r="K26" s="25" t="str">
        <f t="shared" si="3"/>
        <v>PASS</v>
      </c>
    </row>
    <row r="27" spans="2:11">
      <c r="B27" s="8">
        <v>22</v>
      </c>
      <c r="C27" s="9" t="s">
        <v>32</v>
      </c>
      <c r="D27" s="9">
        <v>81</v>
      </c>
      <c r="E27" s="9">
        <v>84</v>
      </c>
      <c r="F27" s="9">
        <v>83</v>
      </c>
      <c r="G27" s="9">
        <v>86</v>
      </c>
      <c r="H27" s="10">
        <f t="shared" si="0"/>
        <v>334</v>
      </c>
      <c r="I27" s="9">
        <f t="shared" si="1"/>
        <v>83.5</v>
      </c>
      <c r="J27" s="29" t="str">
        <f t="shared" si="2"/>
        <v>A</v>
      </c>
      <c r="K27" s="25" t="str">
        <f t="shared" si="3"/>
        <v>PASS</v>
      </c>
    </row>
    <row r="28" spans="2:11">
      <c r="B28" s="8">
        <v>23</v>
      </c>
      <c r="C28" s="9" t="s">
        <v>33</v>
      </c>
      <c r="D28" s="9">
        <v>58</v>
      </c>
      <c r="E28" s="9">
        <v>57</v>
      </c>
      <c r="F28" s="9">
        <v>59</v>
      </c>
      <c r="G28" s="9">
        <v>63</v>
      </c>
      <c r="H28" s="10">
        <f t="shared" si="0"/>
        <v>237</v>
      </c>
      <c r="I28" s="9">
        <f t="shared" si="1"/>
        <v>59.25</v>
      </c>
      <c r="J28" s="29" t="str">
        <f t="shared" si="2"/>
        <v>D</v>
      </c>
      <c r="K28" s="25" t="str">
        <f t="shared" si="3"/>
        <v>PASS</v>
      </c>
    </row>
    <row r="29" spans="2:11">
      <c r="B29" s="8">
        <v>24</v>
      </c>
      <c r="C29" s="9" t="s">
        <v>34</v>
      </c>
      <c r="D29" s="9">
        <v>93</v>
      </c>
      <c r="E29" s="9">
        <v>91</v>
      </c>
      <c r="F29" s="9">
        <v>92</v>
      </c>
      <c r="G29" s="9">
        <v>94</v>
      </c>
      <c r="H29" s="11">
        <f t="shared" si="0"/>
        <v>370</v>
      </c>
      <c r="I29" s="9">
        <f t="shared" si="1"/>
        <v>92.5</v>
      </c>
      <c r="J29" s="29" t="str">
        <f t="shared" si="2"/>
        <v>A+</v>
      </c>
      <c r="K29" s="25" t="str">
        <f t="shared" si="3"/>
        <v>PASS</v>
      </c>
    </row>
    <row r="30" ht="15.15" spans="2:11">
      <c r="B30" s="13">
        <v>25</v>
      </c>
      <c r="C30" s="14" t="s">
        <v>35</v>
      </c>
      <c r="D30" s="14">
        <v>66</v>
      </c>
      <c r="E30" s="14">
        <v>65</v>
      </c>
      <c r="F30" s="14">
        <v>67</v>
      </c>
      <c r="G30" s="14">
        <v>70</v>
      </c>
      <c r="H30" s="15">
        <f t="shared" si="0"/>
        <v>268</v>
      </c>
      <c r="I30" s="14">
        <f t="shared" si="1"/>
        <v>67</v>
      </c>
      <c r="J30" s="30" t="str">
        <f t="shared" si="2"/>
        <v>C</v>
      </c>
      <c r="K30" s="20" t="str">
        <f t="shared" si="3"/>
        <v>PASS</v>
      </c>
    </row>
    <row r="32" ht="15.15"/>
    <row r="33" spans="5:7">
      <c r="E33" s="16" t="s">
        <v>36</v>
      </c>
      <c r="F33" s="17"/>
      <c r="G33" s="18"/>
    </row>
    <row r="34" ht="15.15" spans="5:7">
      <c r="E34" s="13"/>
      <c r="F34" s="19"/>
      <c r="G34" s="20"/>
    </row>
    <row r="35" ht="18.75" spans="5:7">
      <c r="E35" s="6" t="s">
        <v>2</v>
      </c>
      <c r="F35" s="7" t="s">
        <v>37</v>
      </c>
      <c r="G35" s="21" t="s">
        <v>38</v>
      </c>
    </row>
    <row r="36" spans="5:7">
      <c r="E36" s="22" t="str">
        <f>_xlfn.XLOOKUP(LARGE(H6:H30,1),H6:H30,C6:C30)</f>
        <v>Sana Malik</v>
      </c>
      <c r="F36" s="17">
        <f>LARGE(H6:H30,1)</f>
        <v>379</v>
      </c>
      <c r="G36" s="18" t="s">
        <v>39</v>
      </c>
    </row>
    <row r="37" spans="5:7">
      <c r="E37" s="23" t="str">
        <f>_xlfn.XLOOKUP(LARGE(H6:H30,2),H6:H30,C6:C30)</f>
        <v>Umer Farooq</v>
      </c>
      <c r="F37" s="24">
        <f>LARGE(H6:H30,2)</f>
        <v>370</v>
      </c>
      <c r="G37" s="25" t="s">
        <v>40</v>
      </c>
    </row>
    <row r="38" ht="15.15" spans="5:7">
      <c r="E38" s="26" t="str">
        <f>_xlfn.XLOOKUP(LARGE(H6:H30,3),H6:H30,C6:C30)</f>
        <v>Saad Hussain</v>
      </c>
      <c r="F38" s="19">
        <f>LARGE(H6:H30,3)</f>
        <v>362</v>
      </c>
      <c r="G38" s="20" t="s">
        <v>41</v>
      </c>
    </row>
  </sheetData>
  <mergeCells count="2">
    <mergeCell ref="B2:K4"/>
    <mergeCell ref="E33:G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</dc:creator>
  <cp:lastModifiedBy>adeel</cp:lastModifiedBy>
  <dcterms:created xsi:type="dcterms:W3CDTF">2026-04-15T17:33:00Z</dcterms:created>
  <dcterms:modified xsi:type="dcterms:W3CDTF">2026-04-15T19:36:00Z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CA912F89DF264354BA29936648F7D98B_11</vt:lpwstr>
  </property>
  <property fmtid="{D5CDD505-2E9C-101B-9397-08002B2CF9AE}" pid="3" name="KSOProductBuildVer">
    <vt:lpwstr>1033-12.2.0.23196</vt:lpwstr>
  </property>
</Properties>
</file>